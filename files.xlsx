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asvig\Documents\Placement Assignment\"/>
    </mc:Choice>
  </mc:AlternateContent>
  <bookViews>
    <workbookView xWindow="240" yWindow="20" windowWidth="16100" windowHeight="9660"/>
  </bookViews>
  <sheets>
    <sheet name="Composition" sheetId="1" r:id="rId1"/>
    <sheet name="Cost" sheetId="2" r:id="rId2"/>
    <sheet name="Market" sheetId="3" r:id="rId3"/>
    <sheet name="Refining Costs" sheetId="5" r:id="rId4"/>
    <sheet name="README" sheetId="4" r:id="rId5"/>
  </sheets>
  <calcPr calcId="162913"/>
</workbook>
</file>

<file path=xl/calcChain.xml><?xml version="1.0" encoding="utf-8"?>
<calcChain xmlns="http://schemas.openxmlformats.org/spreadsheetml/2006/main">
  <c r="F91" i="3" l="1"/>
  <c r="F42" i="3"/>
  <c r="F6" i="3"/>
  <c r="F7" i="3"/>
  <c r="F9" i="3"/>
  <c r="F10" i="3"/>
  <c r="F12" i="3"/>
  <c r="F13" i="3"/>
  <c r="F15" i="3"/>
  <c r="F16" i="3"/>
  <c r="F18" i="3"/>
  <c r="F19" i="3"/>
  <c r="F21" i="3"/>
  <c r="F22" i="3"/>
  <c r="F24" i="3"/>
  <c r="F25" i="3"/>
  <c r="F27" i="3"/>
  <c r="F28" i="3"/>
  <c r="F30" i="3"/>
  <c r="F31" i="3"/>
  <c r="F33" i="3"/>
  <c r="F34" i="3"/>
  <c r="F36" i="3"/>
  <c r="F37" i="3"/>
  <c r="F39" i="3"/>
  <c r="F40" i="3"/>
  <c r="F43" i="3"/>
  <c r="F45" i="3"/>
  <c r="F46" i="3"/>
  <c r="F48" i="3"/>
  <c r="F49" i="3"/>
  <c r="F51" i="3"/>
  <c r="F52" i="3"/>
  <c r="F54" i="3"/>
  <c r="F55" i="3"/>
  <c r="F57" i="3"/>
  <c r="F58" i="3"/>
  <c r="F60" i="3"/>
  <c r="F61" i="3"/>
  <c r="F63" i="3"/>
  <c r="F64" i="3"/>
  <c r="F66" i="3"/>
  <c r="F67" i="3"/>
  <c r="F69" i="3"/>
  <c r="F70" i="3"/>
  <c r="F72" i="3"/>
  <c r="F73" i="3"/>
  <c r="F75" i="3"/>
  <c r="F76" i="3"/>
  <c r="F78" i="3"/>
  <c r="F79" i="3"/>
  <c r="F81" i="3"/>
  <c r="F82" i="3"/>
  <c r="F84" i="3"/>
  <c r="F85" i="3"/>
  <c r="F87" i="3"/>
  <c r="F88" i="3"/>
  <c r="F90" i="3"/>
  <c r="F4" i="3"/>
  <c r="F3" i="3"/>
</calcChain>
</file>

<file path=xl/sharedStrings.xml><?xml version="1.0" encoding="utf-8"?>
<sst xmlns="http://schemas.openxmlformats.org/spreadsheetml/2006/main" count="247" uniqueCount="70">
  <si>
    <t>Location</t>
  </si>
  <si>
    <t>Depth_km</t>
  </si>
  <si>
    <t>Lithium</t>
  </si>
  <si>
    <t>Nickel</t>
  </si>
  <si>
    <t>Cobalt</t>
  </si>
  <si>
    <t>Graphite</t>
  </si>
  <si>
    <t>Manganese</t>
  </si>
  <si>
    <t>Copper</t>
  </si>
  <si>
    <t>RareEarth</t>
  </si>
  <si>
    <t>Zinc</t>
  </si>
  <si>
    <t>Tin</t>
  </si>
  <si>
    <t>Aluminum</t>
  </si>
  <si>
    <t>Iron</t>
  </si>
  <si>
    <t>Lead</t>
  </si>
  <si>
    <t>Silver</t>
  </si>
  <si>
    <t>Gold</t>
  </si>
  <si>
    <t>Platinum</t>
  </si>
  <si>
    <t>Phosphorus</t>
  </si>
  <si>
    <t>Potash</t>
  </si>
  <si>
    <t>Silicon</t>
  </si>
  <si>
    <t>Germanium</t>
  </si>
  <si>
    <t>Gallium</t>
  </si>
  <si>
    <t>Antimony</t>
  </si>
  <si>
    <t>Molybdenum</t>
  </si>
  <si>
    <t>Vanadium</t>
  </si>
  <si>
    <t>Tungsten</t>
  </si>
  <si>
    <t>Selenium</t>
  </si>
  <si>
    <t>Indium</t>
  </si>
  <si>
    <t>Tellurium</t>
  </si>
  <si>
    <t>Bismuth</t>
  </si>
  <si>
    <t>Cadmium</t>
  </si>
  <si>
    <t>Chromium</t>
  </si>
  <si>
    <t>Moisture Content (%)</t>
  </si>
  <si>
    <t>Thermal Gradient (°C/km)</t>
  </si>
  <si>
    <t>Crust Porosity (%)</t>
  </si>
  <si>
    <t>Location A</t>
  </si>
  <si>
    <t>Location B</t>
  </si>
  <si>
    <t>Location C</t>
  </si>
  <si>
    <t>Maintenance Cost Index</t>
  </si>
  <si>
    <t>Manpower Cost (USD/ton)</t>
  </si>
  <si>
    <t>Mineral</t>
  </si>
  <si>
    <t>Year</t>
  </si>
  <si>
    <t>Price_USD_per_ton</t>
  </si>
  <si>
    <t>Sheet</t>
  </si>
  <si>
    <t>Notes</t>
  </si>
  <si>
    <t>Composition</t>
  </si>
  <si>
    <t>Cost</t>
  </si>
  <si>
    <t>Market</t>
  </si>
  <si>
    <t>Global market forecasts by mineral (supply, demand, price) for 5/10/15-yr horizons.</t>
  </si>
  <si>
    <t>Total Extraction Cost ('000 USD/ton)</t>
  </si>
  <si>
    <t>Growth rate</t>
  </si>
  <si>
    <t>Silver (per Kg)</t>
  </si>
  <si>
    <t>Gold (per Kg)</t>
  </si>
  <si>
    <t>Platinum (per Kg)</t>
  </si>
  <si>
    <t>Aluminum ('000 Mil tonnes)</t>
  </si>
  <si>
    <t>Iron ('000 mil ton)</t>
  </si>
  <si>
    <t>Silicon ('000 mil tons)</t>
  </si>
  <si>
    <t>Depth-wise % composition for 30 critical minerals, % moisture content, thermal gradient and crust porosity  by location.</t>
  </si>
  <si>
    <t xml:space="preserve">Depth-wise extraction costs and site parameters by location. Total Extraction Cost is in '000 USD/ton </t>
  </si>
  <si>
    <t>Refining Cost (USD/Ton)</t>
  </si>
  <si>
    <t>Supply ('000 Tonnes)</t>
  </si>
  <si>
    <t>Demand ('000 Tonnes)</t>
  </si>
  <si>
    <t>Nickel (Million Tonnes)</t>
  </si>
  <si>
    <t>Copper (Million Tones)</t>
  </si>
  <si>
    <t>Refining Costs</t>
  </si>
  <si>
    <t xml:space="preserve">Gives the cost to refine the metal </t>
  </si>
  <si>
    <t>Number of minerals</t>
  </si>
  <si>
    <t xml:space="preserve">Additional Cost </t>
  </si>
  <si>
    <t>('000 USD/ton of ore)</t>
  </si>
  <si>
    <t>% wt. composotion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</si>
</sst>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Addition Cost with addition of new mineral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Cost!$I$1:$I$2</c:f>
              <c:strCache>
                <c:ptCount val="2"/>
                <c:pt idx="0">
                  <c:v>Additional Cost </c:v>
                </c:pt>
                <c:pt idx="1">
                  <c:v>('000 USD/ton of ore)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Cost!$I$3:$I$12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20</c:v>
                </c:pt>
                <c:pt idx="4">
                  <c:v>50</c:v>
                </c:pt>
                <c:pt idx="5">
                  <c:v>120</c:v>
                </c:pt>
                <c:pt idx="6">
                  <c:v>350</c:v>
                </c:pt>
                <c:pt idx="7">
                  <c:v>1000</c:v>
                </c:pt>
                <c:pt idx="8">
                  <c:v>4000</c:v>
                </c:pt>
                <c:pt idx="9">
                  <c:v>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D-4C8C-A8AA-AFC4E7E75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980767"/>
        <c:axId val="21926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Cost!$H$1:$H$2</c15:sqref>
                        </c15:formulaRef>
                      </c:ext>
                    </c:extLst>
                    <c:strCache>
                      <c:ptCount val="2"/>
                      <c:pt idx="0">
                        <c:v>Number of minerals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Cost!$H$3:$H$12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25D-4C8C-A8AA-AFC4E7E758C4}"/>
                  </c:ext>
                </c:extLst>
              </c15:ser>
            </c15:filteredLineSeries>
          </c:ext>
        </c:extLst>
      </c:lineChart>
      <c:catAx>
        <c:axId val="157980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2687"/>
        <c:crosses val="autoZero"/>
        <c:auto val="1"/>
        <c:lblAlgn val="ctr"/>
        <c:lblOffset val="100"/>
        <c:noMultiLvlLbl val="0"/>
      </c:catAx>
      <c:valAx>
        <c:axId val="21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8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136525</xdr:colOff>
      <xdr:row>0</xdr:row>
      <xdr:rowOff>57150</xdr:rowOff>
    </xdr:from>
    <xdr:to>
      <xdr:col>17</xdr:col>
      <xdr:colOff>441325</xdr:colOff>
      <xdr:row>15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7"/>
  <sheetViews>
    <sheetView tabSelected="1" workbookViewId="0">
      <pane ySplit="1" topLeftCell="A2" activePane="bottomLeft" state="frozen"/>
      <selection activeCell="D1" sqref="D1"/>
      <selection pane="bottomLeft" activeCell="F15" sqref="F15"/>
    </sheetView>
  </sheetViews>
  <sheetFormatPr defaultRowHeight="14.5" x14ac:dyDescent="0.35"/>
  <cols>
    <col min="1" max="1" width="16.08984375" customWidth="1"/>
    <col min="2" max="2" width="9.6328125" bestFit="1" customWidth="1"/>
    <col min="3" max="7" width="15.453125" bestFit="1" customWidth="1"/>
    <col min="8" max="9" width="16.453125" bestFit="1" customWidth="1"/>
    <col min="10" max="32" width="15.453125" bestFit="1" customWidth="1"/>
    <col min="33" max="33" width="19.453125" bestFit="1" customWidth="1"/>
    <col min="34" max="34" width="23.1796875" bestFit="1" customWidth="1"/>
    <col min="35" max="35" width="16.453125" bestFit="1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/>
      <c r="AK1" s="2"/>
      <c r="AL1" s="2"/>
      <c r="AM1" s="2"/>
    </row>
    <row r="2" spans="1:40" x14ac:dyDescent="0.35">
      <c r="A2" s="9" t="s">
        <v>69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2"/>
      <c r="AK2" s="2"/>
      <c r="AL2" s="2"/>
      <c r="AM2" s="2"/>
    </row>
    <row r="3" spans="1:40" x14ac:dyDescent="0.35">
      <c r="A3" s="11" t="s">
        <v>35</v>
      </c>
      <c r="B3">
        <v>0</v>
      </c>
      <c r="C3" s="2">
        <v>1.02</v>
      </c>
      <c r="D3" s="2">
        <v>2.6089301000012499</v>
      </c>
      <c r="E3" s="2">
        <v>1.9208710044431647</v>
      </c>
      <c r="F3" s="2">
        <v>3.5664101690936989</v>
      </c>
      <c r="G3" s="2">
        <v>0.97610155153608424</v>
      </c>
      <c r="H3" s="2">
        <v>3.989030405334439</v>
      </c>
      <c r="I3" s="2">
        <v>0.35247970198176848</v>
      </c>
      <c r="J3" s="2">
        <v>4.5062532626768199</v>
      </c>
      <c r="K3" s="2">
        <v>3.0230124131709313</v>
      </c>
      <c r="L3" s="2">
        <v>3.7062974500598602</v>
      </c>
      <c r="M3" s="2">
        <v>31.316406500004607</v>
      </c>
      <c r="N3" s="2">
        <v>2.974641925343807</v>
      </c>
      <c r="O3" s="2">
        <v>0</v>
      </c>
      <c r="P3" s="2">
        <v>0</v>
      </c>
      <c r="Q3" s="2">
        <v>0</v>
      </c>
      <c r="R3" s="2">
        <v>3.031913707423108</v>
      </c>
      <c r="S3" s="2">
        <v>0.93607493210953707</v>
      </c>
      <c r="T3" s="2">
        <v>14.717261303351577</v>
      </c>
      <c r="U3" s="2">
        <v>0</v>
      </c>
      <c r="V3" s="2">
        <v>0</v>
      </c>
      <c r="W3" s="2">
        <v>4.49154079725073</v>
      </c>
      <c r="X3" s="2">
        <v>3.5530982484988169</v>
      </c>
      <c r="Y3" s="2">
        <v>5.1730487047196956</v>
      </c>
      <c r="Z3" s="2">
        <v>2.0846408234136251</v>
      </c>
      <c r="AA3" s="2">
        <v>0.37904550933807934</v>
      </c>
      <c r="AB3" s="2">
        <v>0.67960028479230028</v>
      </c>
      <c r="AC3" s="2">
        <v>1.025478029289393</v>
      </c>
      <c r="AD3" s="2">
        <v>1.0247042853291612</v>
      </c>
      <c r="AE3" s="2">
        <v>1.0280178345040787</v>
      </c>
      <c r="AF3" s="2">
        <v>1.915141056333461</v>
      </c>
      <c r="AG3" s="2">
        <v>8.1</v>
      </c>
      <c r="AH3" s="2">
        <v>30.4</v>
      </c>
      <c r="AI3" s="2">
        <v>14.64</v>
      </c>
      <c r="AJ3" s="2"/>
      <c r="AK3" s="2"/>
      <c r="AL3" s="2"/>
      <c r="AM3" s="2"/>
      <c r="AN3" s="2"/>
    </row>
    <row r="4" spans="1:40" x14ac:dyDescent="0.35">
      <c r="A4" s="11"/>
      <c r="B4">
        <v>1</v>
      </c>
      <c r="C4" s="2">
        <v>1.78</v>
      </c>
      <c r="D4" s="2">
        <v>1.7675288692505162</v>
      </c>
      <c r="E4" s="2">
        <v>2.3115064065134363</v>
      </c>
      <c r="F4" s="2">
        <v>1.8287489970581561</v>
      </c>
      <c r="G4" s="2">
        <v>1.8120428548603531</v>
      </c>
      <c r="H4" s="2">
        <v>3.0646874921607599</v>
      </c>
      <c r="I4" s="2">
        <v>0.45762734910936825</v>
      </c>
      <c r="J4" s="2">
        <v>2.4281450286407131</v>
      </c>
      <c r="K4" s="2">
        <v>2.9160840486528854</v>
      </c>
      <c r="L4" s="2">
        <v>1.2819132251794789</v>
      </c>
      <c r="M4" s="2">
        <v>30.817457200192216</v>
      </c>
      <c r="N4" s="2">
        <v>3.2392357962019962</v>
      </c>
      <c r="O4" s="2">
        <v>0</v>
      </c>
      <c r="P4" s="2">
        <v>0</v>
      </c>
      <c r="Q4" s="2">
        <v>0</v>
      </c>
      <c r="R4" s="2">
        <v>0.36723264547429713</v>
      </c>
      <c r="S4" s="2">
        <v>1.2832112666837669</v>
      </c>
      <c r="T4" s="2">
        <v>16.100425461486708</v>
      </c>
      <c r="U4" s="2">
        <v>3.0440917140226129</v>
      </c>
      <c r="V4" s="2">
        <v>2.4739196723287931</v>
      </c>
      <c r="W4" s="2">
        <v>3.5899825142415702</v>
      </c>
      <c r="X4" s="2">
        <v>3.608269545336928</v>
      </c>
      <c r="Y4" s="2">
        <v>1.3173627318892021</v>
      </c>
      <c r="Z4" s="2">
        <v>4.7840948424789644</v>
      </c>
      <c r="AA4" s="2">
        <v>0.91519599497991033</v>
      </c>
      <c r="AB4" s="2">
        <v>0.86632952749096026</v>
      </c>
      <c r="AC4" s="2">
        <v>0.87072380788177262</v>
      </c>
      <c r="AD4" s="2">
        <v>0.8443762239093604</v>
      </c>
      <c r="AE4" s="2">
        <v>1.2310065597983366</v>
      </c>
      <c r="AF4" s="2">
        <v>4.9988002241769536</v>
      </c>
      <c r="AG4" s="2">
        <v>6.74</v>
      </c>
      <c r="AH4" s="2">
        <v>29.8</v>
      </c>
      <c r="AI4" s="2">
        <v>14.44</v>
      </c>
      <c r="AJ4" s="2"/>
      <c r="AK4" s="2"/>
      <c r="AL4" s="2"/>
      <c r="AM4" s="2"/>
      <c r="AN4" s="2"/>
    </row>
    <row r="5" spans="1:40" x14ac:dyDescent="0.35">
      <c r="A5" s="11"/>
      <c r="B5">
        <v>2</v>
      </c>
      <c r="C5" s="2">
        <v>1.96</v>
      </c>
      <c r="D5" s="2">
        <v>2.2484234152859299</v>
      </c>
      <c r="E5" s="2">
        <v>1.3571685513438043</v>
      </c>
      <c r="F5" s="2">
        <v>3.7614915773769071</v>
      </c>
      <c r="G5" s="2">
        <v>1.9223568219375149</v>
      </c>
      <c r="H5" s="2">
        <v>1.964178483200681</v>
      </c>
      <c r="I5" s="2">
        <v>0.3062907647295342</v>
      </c>
      <c r="J5" s="2">
        <v>1.839736132093799</v>
      </c>
      <c r="K5" s="2">
        <v>2.5059607322556152</v>
      </c>
      <c r="L5" s="2">
        <v>0.77624536016674983</v>
      </c>
      <c r="M5" s="2">
        <v>21.36414192668839</v>
      </c>
      <c r="N5" s="2">
        <v>2.0579121448934381</v>
      </c>
      <c r="O5" s="2">
        <v>0</v>
      </c>
      <c r="P5" s="2">
        <v>0</v>
      </c>
      <c r="Q5" s="2">
        <v>0</v>
      </c>
      <c r="R5" s="2">
        <v>2.330718532910613</v>
      </c>
      <c r="S5" s="2">
        <v>2.2578373122879332</v>
      </c>
      <c r="T5" s="2">
        <v>21.711986965942245</v>
      </c>
      <c r="U5" s="2">
        <v>2.3752978766520698</v>
      </c>
      <c r="V5" s="2">
        <v>5.2904275608948952</v>
      </c>
      <c r="W5" s="2">
        <v>3.6112048660565028</v>
      </c>
      <c r="X5" s="2">
        <v>4.7518816194792972</v>
      </c>
      <c r="Y5" s="2">
        <v>3.533359855827312</v>
      </c>
      <c r="Z5" s="2">
        <v>2.6585325295279718</v>
      </c>
      <c r="AA5" s="2">
        <v>1.0941866485393568</v>
      </c>
      <c r="AB5" s="2">
        <v>0.91715081020882261</v>
      </c>
      <c r="AC5" s="2">
        <v>1.1947702181390283</v>
      </c>
      <c r="AD5" s="2">
        <v>1.3488537389355326</v>
      </c>
      <c r="AE5" s="2">
        <v>1.4451825680882984</v>
      </c>
      <c r="AF5" s="2">
        <v>3.4147029865377441</v>
      </c>
      <c r="AG5" s="2">
        <v>5.86</v>
      </c>
      <c r="AH5" s="2">
        <v>31.3</v>
      </c>
      <c r="AI5" s="2">
        <v>13.52</v>
      </c>
      <c r="AJ5" s="2"/>
      <c r="AK5" s="2"/>
      <c r="AL5" s="2"/>
      <c r="AM5" s="2"/>
      <c r="AN5" s="2"/>
    </row>
    <row r="6" spans="1:40" x14ac:dyDescent="0.35">
      <c r="A6" s="11"/>
      <c r="B6">
        <v>3</v>
      </c>
      <c r="C6" s="2">
        <v>2.79</v>
      </c>
      <c r="D6" s="2">
        <v>1.9972453339898373</v>
      </c>
      <c r="E6" s="2">
        <v>2.3227031180099598</v>
      </c>
      <c r="F6" s="2">
        <v>3.3791795220636551</v>
      </c>
      <c r="G6" s="2">
        <v>2.3510489866790372</v>
      </c>
      <c r="H6" s="2">
        <v>3.441243925886091</v>
      </c>
      <c r="I6" s="2">
        <v>9.23426371968189E-2</v>
      </c>
      <c r="J6" s="2">
        <v>2.8254689860654061</v>
      </c>
      <c r="K6" s="2">
        <v>2.127530776969083</v>
      </c>
      <c r="L6" s="2">
        <v>1.791577193968888</v>
      </c>
      <c r="M6" s="2">
        <v>17.049211751683245</v>
      </c>
      <c r="N6" s="2">
        <v>2.574204041204248</v>
      </c>
      <c r="O6" s="2">
        <v>0</v>
      </c>
      <c r="P6" s="2">
        <v>0</v>
      </c>
      <c r="Q6" s="2">
        <v>0</v>
      </c>
      <c r="R6" s="2">
        <v>2.2944128365876422</v>
      </c>
      <c r="S6" s="2">
        <v>2.1042729465298682</v>
      </c>
      <c r="T6" s="2">
        <v>20.701692837230709</v>
      </c>
      <c r="U6" s="2">
        <v>3.8638324476954651</v>
      </c>
      <c r="V6" s="2">
        <v>3.249788636680472</v>
      </c>
      <c r="W6" s="2">
        <v>5.1340640238862276</v>
      </c>
      <c r="X6" s="2">
        <v>2.881866423644464</v>
      </c>
      <c r="Y6" s="2">
        <v>2.4680819434041061</v>
      </c>
      <c r="Z6" s="2">
        <v>4.7306579448599582</v>
      </c>
      <c r="AA6" s="2">
        <v>1.0431139449592783</v>
      </c>
      <c r="AB6" s="2">
        <v>1.2600310278318843</v>
      </c>
      <c r="AC6" s="2">
        <v>0.21341366033653675</v>
      </c>
      <c r="AD6" s="2">
        <v>1.7167446305020935</v>
      </c>
      <c r="AE6" s="2">
        <v>1.1955888468842366</v>
      </c>
      <c r="AF6" s="2">
        <v>4.400681575250796</v>
      </c>
      <c r="AG6" s="2">
        <v>5.16</v>
      </c>
      <c r="AH6" s="2">
        <v>28.8</v>
      </c>
      <c r="AI6" s="2">
        <v>12.73</v>
      </c>
      <c r="AJ6" s="2"/>
      <c r="AK6" s="2"/>
      <c r="AL6" s="2"/>
      <c r="AM6" s="2"/>
      <c r="AN6" s="2"/>
    </row>
    <row r="7" spans="1:40" x14ac:dyDescent="0.35">
      <c r="A7" s="11"/>
      <c r="B7">
        <v>4</v>
      </c>
      <c r="C7" s="2">
        <v>2.92</v>
      </c>
      <c r="D7" s="2">
        <v>2.7015160594724494</v>
      </c>
      <c r="E7" s="2">
        <v>1.5324127009395399</v>
      </c>
      <c r="F7" s="2">
        <v>3.608476221690768</v>
      </c>
      <c r="G7" s="2">
        <v>1.4135304001230451</v>
      </c>
      <c r="H7" s="2">
        <v>4.7417447819644654</v>
      </c>
      <c r="I7" s="2">
        <v>0.41259544313862423</v>
      </c>
      <c r="J7" s="2">
        <v>4.1857722082564974</v>
      </c>
      <c r="K7" s="2">
        <v>1.8539291535958871</v>
      </c>
      <c r="L7" s="2">
        <v>1.1110269998296241</v>
      </c>
      <c r="M7" s="2">
        <v>25.496789553046248</v>
      </c>
      <c r="N7" s="2">
        <v>2.9377439388856308</v>
      </c>
      <c r="O7" s="2">
        <v>0</v>
      </c>
      <c r="P7" s="2">
        <v>0</v>
      </c>
      <c r="Q7" s="2">
        <v>0</v>
      </c>
      <c r="R7" s="2">
        <v>3.548793213636098</v>
      </c>
      <c r="S7" s="2">
        <v>9.0236383359592734E-2</v>
      </c>
      <c r="T7" s="2">
        <v>19.891794175762371</v>
      </c>
      <c r="U7" s="2">
        <v>4.5682846411360094</v>
      </c>
      <c r="V7" s="2">
        <v>2.5785235421552408</v>
      </c>
      <c r="W7" s="2">
        <v>4.1873448923460614</v>
      </c>
      <c r="X7" s="2">
        <v>1.963144497079101</v>
      </c>
      <c r="Y7" s="2">
        <v>1.795257387642363</v>
      </c>
      <c r="Z7" s="2">
        <v>1.781815645925612</v>
      </c>
      <c r="AA7" s="2">
        <v>1.1244339819345757</v>
      </c>
      <c r="AB7" s="2">
        <v>0.75996131416739698</v>
      </c>
      <c r="AC7" s="2">
        <v>0.55633191009940963</v>
      </c>
      <c r="AD7" s="2">
        <v>1.9033895740731841</v>
      </c>
      <c r="AE7" s="2">
        <v>1.3022284343384927</v>
      </c>
      <c r="AF7" s="2">
        <v>1.0329229454016979</v>
      </c>
      <c r="AG7" s="2">
        <v>4.0599999999999996</v>
      </c>
      <c r="AH7" s="2">
        <v>26.7</v>
      </c>
      <c r="AI7" s="2">
        <v>12.07</v>
      </c>
      <c r="AJ7" s="2"/>
      <c r="AK7" s="2"/>
      <c r="AL7" s="2"/>
      <c r="AM7" s="2"/>
      <c r="AN7" s="2"/>
    </row>
    <row r="8" spans="1:40" x14ac:dyDescent="0.35">
      <c r="A8" s="11"/>
      <c r="B8">
        <v>5</v>
      </c>
      <c r="C8" s="2">
        <v>3.87</v>
      </c>
      <c r="D8" s="2">
        <v>2.4694855316975159</v>
      </c>
      <c r="E8" s="2">
        <v>2.152595089013206</v>
      </c>
      <c r="F8" s="2">
        <v>2.2018970564929181</v>
      </c>
      <c r="G8" s="2">
        <v>4.7109577810838958</v>
      </c>
      <c r="H8" s="2">
        <v>3.9388422471155611</v>
      </c>
      <c r="I8" s="2">
        <v>0.31475474495733924</v>
      </c>
      <c r="J8" s="2">
        <v>4.4064857906677517</v>
      </c>
      <c r="K8" s="2">
        <v>2.5662905196445633</v>
      </c>
      <c r="L8" s="2">
        <v>2.1280279107435538</v>
      </c>
      <c r="M8" s="2">
        <v>20.952687425720185</v>
      </c>
      <c r="N8" s="2">
        <v>2.0529580475259568</v>
      </c>
      <c r="O8" s="2">
        <v>0</v>
      </c>
      <c r="P8" s="2">
        <v>0</v>
      </c>
      <c r="Q8" s="2">
        <v>0</v>
      </c>
      <c r="R8" s="2">
        <v>2.1629484152186529</v>
      </c>
      <c r="S8" s="2">
        <v>0.95662332757264523</v>
      </c>
      <c r="T8" s="2">
        <v>17.471427091334718</v>
      </c>
      <c r="U8" s="2">
        <v>2.016992698055168</v>
      </c>
      <c r="V8" s="2">
        <v>3.7341975564016399</v>
      </c>
      <c r="W8" s="2">
        <v>3.492486049954425</v>
      </c>
      <c r="X8" s="2">
        <v>4.6200836894637494</v>
      </c>
      <c r="Y8" s="2">
        <v>2.5704089968530401</v>
      </c>
      <c r="Z8" s="2">
        <v>2.5090491911671879</v>
      </c>
      <c r="AA8" s="2">
        <v>0.12334835475546686</v>
      </c>
      <c r="AB8" s="2">
        <v>0.57895035327699806</v>
      </c>
      <c r="AC8" s="2">
        <v>1.0160428455844934</v>
      </c>
      <c r="AD8" s="2">
        <v>1.3275320533730739</v>
      </c>
      <c r="AE8" s="2">
        <v>1.1148636020017337</v>
      </c>
      <c r="AF8" s="2">
        <v>4.5400636303245498</v>
      </c>
      <c r="AG8" s="2">
        <v>3.43</v>
      </c>
      <c r="AH8" s="2">
        <v>30.3</v>
      </c>
      <c r="AI8" s="2">
        <v>11.6</v>
      </c>
      <c r="AJ8" s="2"/>
      <c r="AK8" s="2"/>
      <c r="AL8" s="2"/>
      <c r="AM8" s="2"/>
      <c r="AN8" s="2"/>
    </row>
    <row r="9" spans="1:40" x14ac:dyDescent="0.35">
      <c r="A9" s="11"/>
      <c r="B9">
        <v>6</v>
      </c>
      <c r="C9" s="2">
        <v>4.9596831899483922</v>
      </c>
      <c r="D9" s="2">
        <v>1.8614587948891301</v>
      </c>
      <c r="E9" s="2">
        <v>2.1735614964457568</v>
      </c>
      <c r="F9" s="2">
        <v>2.204782077974619</v>
      </c>
      <c r="G9" s="2">
        <v>1.0188994252881769</v>
      </c>
      <c r="H9" s="2">
        <v>4.2991016794047239</v>
      </c>
      <c r="I9" s="2">
        <v>0.21806428323405158</v>
      </c>
      <c r="J9" s="2">
        <v>3.4290015729252552</v>
      </c>
      <c r="K9" s="2">
        <v>2.1812284989880579</v>
      </c>
      <c r="L9" s="2">
        <v>3.990718166099942</v>
      </c>
      <c r="M9" s="2">
        <v>19.863385343669261</v>
      </c>
      <c r="N9" s="2">
        <v>4.4709000271718518</v>
      </c>
      <c r="O9" s="2">
        <v>0</v>
      </c>
      <c r="P9" s="2">
        <v>0</v>
      </c>
      <c r="Q9" s="2">
        <v>0</v>
      </c>
      <c r="R9" s="2">
        <v>3.7925016876243189</v>
      </c>
      <c r="S9" s="2">
        <v>2.6417643568061648</v>
      </c>
      <c r="T9" s="2">
        <v>15.278601204447753</v>
      </c>
      <c r="U9" s="2">
        <v>5.3067260041981257</v>
      </c>
      <c r="V9" s="2">
        <v>4.6928824232759219</v>
      </c>
      <c r="W9" s="2">
        <v>3.1326295662968771</v>
      </c>
      <c r="X9" s="2">
        <v>2.580596587499449</v>
      </c>
      <c r="Y9" s="2">
        <v>2.98230706165783</v>
      </c>
      <c r="Z9" s="2">
        <v>1.8304118255107711</v>
      </c>
      <c r="AA9" s="2">
        <v>0.34878524255214666</v>
      </c>
      <c r="AB9" s="2">
        <v>1.0084570037730283</v>
      </c>
      <c r="AC9" s="2">
        <v>0.57724391768210237</v>
      </c>
      <c r="AD9" s="2">
        <v>1.2830282234970001</v>
      </c>
      <c r="AE9" s="2">
        <v>0.73588784983623834</v>
      </c>
      <c r="AF9" s="2">
        <v>3.1373924893030809</v>
      </c>
      <c r="AG9" s="2">
        <v>3.26</v>
      </c>
      <c r="AH9" s="2">
        <v>30.6</v>
      </c>
      <c r="AI9" s="2">
        <v>10.8</v>
      </c>
      <c r="AJ9" s="2"/>
      <c r="AK9" s="2"/>
      <c r="AL9" s="2"/>
      <c r="AM9" s="2"/>
      <c r="AN9" s="2"/>
    </row>
    <row r="10" spans="1:40" x14ac:dyDescent="0.35">
      <c r="A10" s="11"/>
      <c r="B10">
        <v>7</v>
      </c>
      <c r="C10" s="2">
        <v>5.6</v>
      </c>
      <c r="D10" s="2">
        <v>1.7700871983960542</v>
      </c>
      <c r="E10" s="2">
        <v>2.0165775805938577</v>
      </c>
      <c r="F10" s="2">
        <v>1.733254795732311</v>
      </c>
      <c r="G10" s="2">
        <v>3.658891080838341</v>
      </c>
      <c r="H10" s="2">
        <v>2.955885128660027</v>
      </c>
      <c r="I10" s="2">
        <v>0.31206094192319939</v>
      </c>
      <c r="J10" s="2">
        <v>2.7130145471733709</v>
      </c>
      <c r="K10" s="2">
        <v>1.3657470073805735</v>
      </c>
      <c r="L10" s="2">
        <v>2.706621384415786</v>
      </c>
      <c r="M10" s="2">
        <v>16.834400976376156</v>
      </c>
      <c r="N10" s="2">
        <v>4.7390109545492969</v>
      </c>
      <c r="O10" s="2">
        <v>0</v>
      </c>
      <c r="P10" s="2">
        <v>0</v>
      </c>
      <c r="Q10" s="2">
        <v>0</v>
      </c>
      <c r="R10" s="2">
        <v>0.5116179968286424</v>
      </c>
      <c r="S10" s="2">
        <v>2.123880621737499</v>
      </c>
      <c r="T10" s="2">
        <v>23.251472950618222</v>
      </c>
      <c r="U10" s="2">
        <v>5.3854733562901078</v>
      </c>
      <c r="V10" s="2">
        <v>3.0733328901607102</v>
      </c>
      <c r="W10" s="2">
        <v>3.126621280829136</v>
      </c>
      <c r="X10" s="2">
        <v>2.1905944036667071</v>
      </c>
      <c r="Y10" s="2">
        <v>1.108854082851386</v>
      </c>
      <c r="Z10" s="2">
        <v>5.2689019210124739</v>
      </c>
      <c r="AA10" s="2">
        <v>0.9297911585226486</v>
      </c>
      <c r="AB10" s="2">
        <v>1.4688556245865154</v>
      </c>
      <c r="AC10" s="2">
        <v>0.46181738336708905</v>
      </c>
      <c r="AD10" s="2">
        <v>1.4500285022744424</v>
      </c>
      <c r="AE10" s="2">
        <v>0.47489009564666568</v>
      </c>
      <c r="AF10" s="2">
        <v>2.7683161355687749</v>
      </c>
      <c r="AG10" s="2">
        <v>2.64</v>
      </c>
      <c r="AH10" s="2">
        <v>29.4</v>
      </c>
      <c r="AI10" s="2">
        <v>10.33</v>
      </c>
      <c r="AJ10" s="2"/>
      <c r="AK10" s="2"/>
      <c r="AL10" s="2"/>
      <c r="AM10" s="2"/>
      <c r="AN10" s="2"/>
    </row>
    <row r="11" spans="1:40" x14ac:dyDescent="0.35">
      <c r="A11" s="11"/>
      <c r="B11">
        <v>8</v>
      </c>
      <c r="C11" s="2">
        <v>6.69</v>
      </c>
      <c r="D11" s="2">
        <v>2.447448425472031</v>
      </c>
      <c r="E11" s="2">
        <v>1.6175349817772515</v>
      </c>
      <c r="F11" s="2">
        <v>4.3285134486556753</v>
      </c>
      <c r="G11" s="2">
        <v>1.645272941416051</v>
      </c>
      <c r="H11" s="2">
        <v>4.4957505658860741</v>
      </c>
      <c r="I11" s="2">
        <v>0.40401558470873544</v>
      </c>
      <c r="J11" s="2">
        <v>4.5017542341088141</v>
      </c>
      <c r="K11" s="2">
        <v>2.0435960352126705</v>
      </c>
      <c r="L11" s="2">
        <v>3.704925609008666</v>
      </c>
      <c r="M11" s="2">
        <v>12.90960719194684</v>
      </c>
      <c r="N11" s="2">
        <v>3.9200608077042332</v>
      </c>
      <c r="O11" s="2">
        <v>0</v>
      </c>
      <c r="P11" s="2">
        <v>0</v>
      </c>
      <c r="Q11" s="2">
        <v>0</v>
      </c>
      <c r="R11" s="2">
        <v>0.67341567838217009</v>
      </c>
      <c r="S11" s="2">
        <v>3.3152380224398792</v>
      </c>
      <c r="T11" s="2">
        <v>20.187076924711974</v>
      </c>
      <c r="U11" s="2">
        <v>3.261411403495202</v>
      </c>
      <c r="V11" s="2">
        <v>3.9243588539363641</v>
      </c>
      <c r="W11" s="2">
        <v>3.2449036993312039</v>
      </c>
      <c r="X11" s="2">
        <v>2.1027365483495859</v>
      </c>
      <c r="Y11" s="2">
        <v>3.691741102361231</v>
      </c>
      <c r="Z11" s="2">
        <v>2.2408960359373009</v>
      </c>
      <c r="AA11" s="2">
        <v>0.64949120175467301</v>
      </c>
      <c r="AB11" s="2">
        <v>0.68872183496227424</v>
      </c>
      <c r="AC11" s="2">
        <v>0.20718060617937104</v>
      </c>
      <c r="AD11" s="2">
        <v>1.6069123677529198</v>
      </c>
      <c r="AE11" s="2">
        <v>1.4396338864670251</v>
      </c>
      <c r="AF11" s="2">
        <v>4.0578020080417696</v>
      </c>
      <c r="AG11" s="2">
        <v>2.0099999999999998</v>
      </c>
      <c r="AH11" s="2">
        <v>30.6</v>
      </c>
      <c r="AI11" s="2">
        <v>9.06</v>
      </c>
      <c r="AJ11" s="2"/>
      <c r="AK11" s="2"/>
      <c r="AL11" s="2"/>
      <c r="AM11" s="2"/>
      <c r="AN11" s="2"/>
    </row>
    <row r="12" spans="1:40" x14ac:dyDescent="0.35">
      <c r="A12" s="11"/>
      <c r="B12">
        <v>9</v>
      </c>
      <c r="C12" s="2">
        <v>5.1289916883107383</v>
      </c>
      <c r="D12" s="2">
        <v>2.9067388395473723</v>
      </c>
      <c r="E12" s="2">
        <v>2.0145332014189026</v>
      </c>
      <c r="F12" s="2">
        <v>1.7422064752378801</v>
      </c>
      <c r="G12" s="2">
        <v>2.762512759905972</v>
      </c>
      <c r="H12" s="2">
        <v>2.621902626694284</v>
      </c>
      <c r="I12" s="2">
        <v>0.1674667615406964</v>
      </c>
      <c r="J12" s="2">
        <v>2.5269404523501748</v>
      </c>
      <c r="K12" s="2">
        <v>2.7313021451084611</v>
      </c>
      <c r="L12" s="2">
        <v>1.03929923755843</v>
      </c>
      <c r="M12" s="2">
        <v>18.104408533003088</v>
      </c>
      <c r="N12" s="2">
        <v>1.9701675129505261</v>
      </c>
      <c r="O12" s="2">
        <v>0</v>
      </c>
      <c r="P12" s="2">
        <v>0</v>
      </c>
      <c r="Q12" s="2">
        <v>0</v>
      </c>
      <c r="R12" s="2">
        <v>1.229239468699745</v>
      </c>
      <c r="S12" s="2">
        <v>1.7725993886191529</v>
      </c>
      <c r="T12" s="2">
        <v>23.68344610449661</v>
      </c>
      <c r="U12" s="2">
        <v>5.5344702167511981</v>
      </c>
      <c r="V12" s="2">
        <v>5.2261168451571391</v>
      </c>
      <c r="W12" s="2">
        <v>3.6389995695070989</v>
      </c>
      <c r="X12" s="2">
        <v>2.606499364564927</v>
      </c>
      <c r="Y12" s="2">
        <v>1.4210728698196919</v>
      </c>
      <c r="Z12" s="2">
        <v>3.254154093799122</v>
      </c>
      <c r="AA12" s="2">
        <v>0.45946048846864901</v>
      </c>
      <c r="AB12" s="2">
        <v>1.1741183513445981</v>
      </c>
      <c r="AC12" s="2">
        <v>1.0553712523482399</v>
      </c>
      <c r="AD12" s="2">
        <v>1.763615591805227</v>
      </c>
      <c r="AE12" s="2">
        <v>0.83686360538419324</v>
      </c>
      <c r="AF12" s="2">
        <v>2.627502555607879</v>
      </c>
      <c r="AG12" s="2">
        <v>1.89</v>
      </c>
      <c r="AH12" s="2">
        <v>29</v>
      </c>
      <c r="AI12" s="2">
        <v>8.4700000000000006</v>
      </c>
      <c r="AJ12" s="2"/>
      <c r="AK12" s="2"/>
      <c r="AL12" s="2"/>
      <c r="AM12" s="2"/>
      <c r="AN12" s="2"/>
    </row>
    <row r="13" spans="1:40" x14ac:dyDescent="0.35">
      <c r="A13" s="11"/>
      <c r="B13">
        <v>10</v>
      </c>
      <c r="C13" s="2">
        <v>2.0114466291781299</v>
      </c>
      <c r="D13" s="2">
        <v>2.7216068317414397</v>
      </c>
      <c r="E13" s="2">
        <v>1.5344676874361438</v>
      </c>
      <c r="F13" s="2">
        <v>3.9353964985994079</v>
      </c>
      <c r="G13" s="2">
        <v>3.9472881752538358</v>
      </c>
      <c r="H13" s="2">
        <v>4.4820332246253054</v>
      </c>
      <c r="I13" s="2">
        <v>0.20347788775218908</v>
      </c>
      <c r="J13" s="2">
        <v>3.5662491131179732</v>
      </c>
      <c r="K13" s="2">
        <v>2.2710513878072853</v>
      </c>
      <c r="L13" s="2">
        <v>1.9535425421986139</v>
      </c>
      <c r="M13" s="2">
        <v>18.969239581636895</v>
      </c>
      <c r="N13" s="2">
        <v>2.022695275654403</v>
      </c>
      <c r="O13" s="2">
        <v>0</v>
      </c>
      <c r="P13" s="2">
        <v>0</v>
      </c>
      <c r="Q13" s="2">
        <v>0</v>
      </c>
      <c r="R13" s="2">
        <v>0.4999878973452711</v>
      </c>
      <c r="S13" s="2">
        <v>1.9937831084633919</v>
      </c>
      <c r="T13" s="2">
        <v>17.688758320013108</v>
      </c>
      <c r="U13" s="2">
        <v>4.0540205941563734</v>
      </c>
      <c r="V13" s="2">
        <v>5.7084346956294079</v>
      </c>
      <c r="W13" s="2">
        <v>4.79569837423821</v>
      </c>
      <c r="X13" s="2">
        <v>2.0728125608784072</v>
      </c>
      <c r="Y13" s="2">
        <v>2.7336521845521879</v>
      </c>
      <c r="Z13" s="2">
        <v>3.8066796253807218</v>
      </c>
      <c r="AA13" s="2">
        <v>0.76561820792291735</v>
      </c>
      <c r="AB13" s="2">
        <v>1.3692160435787715</v>
      </c>
      <c r="AC13" s="2">
        <v>0.46284329498606036</v>
      </c>
      <c r="AD13" s="2">
        <v>0.9255148488844247</v>
      </c>
      <c r="AE13" s="2">
        <v>0.91293799690665933</v>
      </c>
      <c r="AF13" s="2">
        <v>4.5915474120624609</v>
      </c>
      <c r="AG13" s="2">
        <v>1.42</v>
      </c>
      <c r="AH13" s="2">
        <v>29.1</v>
      </c>
      <c r="AI13" s="2">
        <v>8.23</v>
      </c>
      <c r="AJ13" s="2"/>
      <c r="AK13" s="2"/>
      <c r="AL13" s="2"/>
      <c r="AM13" s="2"/>
      <c r="AN13" s="2"/>
    </row>
    <row r="14" spans="1:40" x14ac:dyDescent="0.35">
      <c r="A14" s="11"/>
      <c r="B14">
        <v>11</v>
      </c>
      <c r="C14" s="2">
        <v>1.740393151322132</v>
      </c>
      <c r="D14" s="2">
        <v>2.4495765305600954</v>
      </c>
      <c r="E14" s="2">
        <v>1.8348339698481995</v>
      </c>
      <c r="F14" s="2">
        <v>2.584561121221765</v>
      </c>
      <c r="G14" s="2">
        <v>3.673965650231799</v>
      </c>
      <c r="H14" s="2">
        <v>2.8014109639918541</v>
      </c>
      <c r="I14" s="2">
        <v>0.32043207354997238</v>
      </c>
      <c r="J14" s="2">
        <v>3.128000925051531</v>
      </c>
      <c r="K14" s="2">
        <v>2.4370919005100395</v>
      </c>
      <c r="L14" s="2">
        <v>2.9830707076674829</v>
      </c>
      <c r="M14" s="2">
        <v>14.540877154522002</v>
      </c>
      <c r="N14" s="2">
        <v>2.1428926067047431</v>
      </c>
      <c r="O14" s="2">
        <v>0</v>
      </c>
      <c r="P14" s="2">
        <v>0</v>
      </c>
      <c r="Q14" s="2">
        <v>0</v>
      </c>
      <c r="R14" s="2">
        <v>0.68967382139525402</v>
      </c>
      <c r="S14" s="2">
        <v>2.5586096916650178</v>
      </c>
      <c r="T14" s="2">
        <v>26.753703846463978</v>
      </c>
      <c r="U14" s="2">
        <v>3.0768799275674641</v>
      </c>
      <c r="V14" s="2">
        <v>3.6889492824814911</v>
      </c>
      <c r="W14" s="2">
        <v>4.7591405871828876</v>
      </c>
      <c r="X14" s="2">
        <v>3.117962438176419</v>
      </c>
      <c r="Y14" s="2">
        <v>3.9738090263122459</v>
      </c>
      <c r="Z14" s="2">
        <v>3.4534549029234811</v>
      </c>
      <c r="AA14" s="2">
        <v>0.9469806181517737</v>
      </c>
      <c r="AB14" s="2">
        <v>1.4038266413839118</v>
      </c>
      <c r="AC14" s="2">
        <v>0.95896220104676333</v>
      </c>
      <c r="AD14" s="2">
        <v>0.8272279058434181</v>
      </c>
      <c r="AE14" s="2">
        <v>1.0265796628271797</v>
      </c>
      <c r="AF14" s="2">
        <v>2.1271326913971258</v>
      </c>
      <c r="AG14" s="2">
        <v>1.19</v>
      </c>
      <c r="AH14" s="2">
        <v>28.6</v>
      </c>
      <c r="AI14" s="2">
        <v>7.06</v>
      </c>
      <c r="AJ14" s="2"/>
      <c r="AK14" s="2"/>
      <c r="AL14" s="2"/>
      <c r="AM14" s="2"/>
      <c r="AN14" s="2"/>
    </row>
    <row r="15" spans="1:40" x14ac:dyDescent="0.35">
      <c r="A15" s="11"/>
      <c r="B15">
        <v>12</v>
      </c>
      <c r="C15" s="2">
        <v>1.801706932503194</v>
      </c>
      <c r="D15" s="2">
        <v>2.5950587114248709</v>
      </c>
      <c r="E15" s="2">
        <v>2.0507456468948289</v>
      </c>
      <c r="F15" s="2">
        <v>5.0504078253979046</v>
      </c>
      <c r="G15" s="2">
        <v>1.328197509286313</v>
      </c>
      <c r="H15" s="2">
        <v>5.7899467176754138</v>
      </c>
      <c r="I15" s="2">
        <v>0.27024660670344447</v>
      </c>
      <c r="J15" s="2">
        <v>3.9839125904086501</v>
      </c>
      <c r="K15" s="2">
        <v>1.3874068848188825</v>
      </c>
      <c r="L15" s="2">
        <v>1.8450523906740519</v>
      </c>
      <c r="M15" s="2">
        <v>20.143417642354912</v>
      </c>
      <c r="N15" s="2">
        <v>5.3381859090275867</v>
      </c>
      <c r="O15" s="2">
        <v>0</v>
      </c>
      <c r="P15" s="2">
        <v>0</v>
      </c>
      <c r="Q15" s="2">
        <v>0</v>
      </c>
      <c r="R15" s="2">
        <v>2.127511456502031</v>
      </c>
      <c r="S15" s="2">
        <v>1.4111486121243371</v>
      </c>
      <c r="T15" s="2">
        <v>18.951454677613896</v>
      </c>
      <c r="U15" s="2">
        <v>4.7332865203276517</v>
      </c>
      <c r="V15" s="2">
        <v>2.5811518383731529</v>
      </c>
      <c r="W15" s="2">
        <v>2.8138321239984152</v>
      </c>
      <c r="X15" s="2">
        <v>4.022586953353148</v>
      </c>
      <c r="Y15" s="2">
        <v>1.57859242570156</v>
      </c>
      <c r="Z15" s="2">
        <v>3.2370951481987378</v>
      </c>
      <c r="AA15" s="2">
        <v>0.41636260600390002</v>
      </c>
      <c r="AB15" s="2">
        <v>0.94909373856777934</v>
      </c>
      <c r="AC15" s="2">
        <v>0.31533427735649955</v>
      </c>
      <c r="AD15" s="2">
        <v>0.90122080544661276</v>
      </c>
      <c r="AE15" s="2">
        <v>0.64824064227581135</v>
      </c>
      <c r="AF15" s="2">
        <v>3.728802806986407</v>
      </c>
      <c r="AG15" s="2">
        <v>1.1299999999999999</v>
      </c>
      <c r="AH15" s="2">
        <v>26.2</v>
      </c>
      <c r="AI15" s="2">
        <v>7.02</v>
      </c>
      <c r="AJ15" s="2"/>
      <c r="AK15" s="2"/>
      <c r="AL15" s="2"/>
      <c r="AM15" s="2"/>
      <c r="AN15" s="2"/>
    </row>
    <row r="16" spans="1:40" x14ac:dyDescent="0.35">
      <c r="A16" s="11"/>
      <c r="B16">
        <v>13</v>
      </c>
      <c r="C16" s="2">
        <v>4.3932605157480467</v>
      </c>
      <c r="D16" s="2">
        <v>2.677586052140597</v>
      </c>
      <c r="E16" s="2">
        <v>1.7964785048225582</v>
      </c>
      <c r="F16" s="2">
        <v>1.752738144901431</v>
      </c>
      <c r="G16" s="2">
        <v>3.023802352461916</v>
      </c>
      <c r="H16" s="2">
        <v>3.041529396101819</v>
      </c>
      <c r="I16" s="2">
        <v>0.41925317089937586</v>
      </c>
      <c r="J16" s="2">
        <v>2.215312747020338</v>
      </c>
      <c r="K16" s="2">
        <v>2.3528184031705033</v>
      </c>
      <c r="L16" s="2">
        <v>1.796953437424313</v>
      </c>
      <c r="M16" s="2">
        <v>21.599738197035112</v>
      </c>
      <c r="N16" s="2">
        <v>3.3372541482174651</v>
      </c>
      <c r="O16" s="2">
        <v>0</v>
      </c>
      <c r="P16" s="2">
        <v>0</v>
      </c>
      <c r="Q16" s="2">
        <v>0</v>
      </c>
      <c r="R16" s="2">
        <v>1.5714023839967399</v>
      </c>
      <c r="S16" s="2">
        <v>1.8447137830914859</v>
      </c>
      <c r="T16" s="2">
        <v>17.781875740865786</v>
      </c>
      <c r="U16" s="2">
        <v>4.040206291982523</v>
      </c>
      <c r="V16" s="2">
        <v>3.3002996086200902</v>
      </c>
      <c r="W16" s="2">
        <v>3.36812254633193</v>
      </c>
      <c r="X16" s="2">
        <v>4.48339850818149</v>
      </c>
      <c r="Y16" s="2">
        <v>4.0371693102438249</v>
      </c>
      <c r="Z16" s="2">
        <v>1.902794501709431</v>
      </c>
      <c r="AA16" s="2">
        <v>0.34010378325657498</v>
      </c>
      <c r="AB16" s="2">
        <v>0.85606206675911833</v>
      </c>
      <c r="AC16" s="2">
        <v>0.98854700088847103</v>
      </c>
      <c r="AD16" s="2">
        <v>1.7730146358409546</v>
      </c>
      <c r="AE16" s="2">
        <v>1.4385126755458046</v>
      </c>
      <c r="AF16" s="2">
        <v>3.86705209274227</v>
      </c>
      <c r="AG16" s="2">
        <v>0.53</v>
      </c>
      <c r="AH16" s="2">
        <v>26.6</v>
      </c>
      <c r="AI16" s="2">
        <v>6.32</v>
      </c>
      <c r="AJ16" s="2"/>
      <c r="AK16" s="2"/>
      <c r="AL16" s="2"/>
      <c r="AM16" s="2"/>
      <c r="AN16" s="2"/>
    </row>
    <row r="17" spans="1:40" x14ac:dyDescent="0.35">
      <c r="A17" s="11"/>
      <c r="B17">
        <v>14</v>
      </c>
      <c r="C17" s="2">
        <v>2.1982658547438461</v>
      </c>
      <c r="D17" s="2">
        <v>2.6856132503373153</v>
      </c>
      <c r="E17" s="2">
        <v>1.6357688678253941</v>
      </c>
      <c r="F17" s="2">
        <v>1.577394284662601</v>
      </c>
      <c r="G17" s="2">
        <v>4.0144945199425752</v>
      </c>
      <c r="H17" s="2">
        <v>2.2160881069270562</v>
      </c>
      <c r="I17" s="2">
        <v>0.3207790522238767</v>
      </c>
      <c r="J17" s="2">
        <v>2.2125747964457561</v>
      </c>
      <c r="K17" s="2">
        <v>2.2669735275502134</v>
      </c>
      <c r="L17" s="2">
        <v>3.7009470188017022</v>
      </c>
      <c r="M17" s="2">
        <v>22.931025262914229</v>
      </c>
      <c r="N17" s="2">
        <v>2.417838875167126</v>
      </c>
      <c r="O17" s="2">
        <v>0</v>
      </c>
      <c r="P17" s="2">
        <v>0</v>
      </c>
      <c r="Q17" s="2">
        <v>0</v>
      </c>
      <c r="R17" s="2">
        <v>0.74948649941288781</v>
      </c>
      <c r="S17" s="2">
        <v>1.488046028809286</v>
      </c>
      <c r="T17" s="2">
        <v>17.228017906722883</v>
      </c>
      <c r="U17" s="2">
        <v>4.4608505283464446</v>
      </c>
      <c r="V17" s="2">
        <v>2.7389432895783612</v>
      </c>
      <c r="W17" s="2">
        <v>3.8350553201978022</v>
      </c>
      <c r="X17" s="2">
        <v>4.8404206555632809</v>
      </c>
      <c r="Y17" s="2">
        <v>3.083039402599145</v>
      </c>
      <c r="Z17" s="2">
        <v>4.556434260603635</v>
      </c>
      <c r="AA17" s="2">
        <v>1.0954923780011361</v>
      </c>
      <c r="AB17" s="2">
        <v>1.2876957176050283</v>
      </c>
      <c r="AC17" s="2">
        <v>0.85701581867850407</v>
      </c>
      <c r="AD17" s="2">
        <v>1.7507843206766249</v>
      </c>
      <c r="AE17" s="2">
        <v>1.4589854800093234</v>
      </c>
      <c r="AF17" s="2">
        <v>2.3919689756539499</v>
      </c>
      <c r="AG17" s="2">
        <v>0.43</v>
      </c>
      <c r="AH17" s="2">
        <v>26.2</v>
      </c>
      <c r="AI17" s="2">
        <v>5.62</v>
      </c>
      <c r="AJ17" s="2"/>
      <c r="AK17" s="2"/>
      <c r="AL17" s="2"/>
      <c r="AM17" s="2"/>
      <c r="AN17" s="2"/>
    </row>
    <row r="18" spans="1:40" x14ac:dyDescent="0.35">
      <c r="A18" s="11"/>
      <c r="B18">
        <v>15</v>
      </c>
      <c r="C18" s="2">
        <v>1.6460025557004849</v>
      </c>
      <c r="D18" s="2">
        <v>2.163464276859774</v>
      </c>
      <c r="E18" s="2">
        <v>1.7125401290870215</v>
      </c>
      <c r="F18" s="2">
        <v>2.856700734932125</v>
      </c>
      <c r="G18" s="2">
        <v>1.540328041205048</v>
      </c>
      <c r="H18" s="2">
        <v>3.7709858969194849</v>
      </c>
      <c r="I18" s="2">
        <v>0.24615653144237978</v>
      </c>
      <c r="J18" s="2">
        <v>5.422381792635889</v>
      </c>
      <c r="K18" s="2">
        <v>2.9301530551342272</v>
      </c>
      <c r="L18" s="2">
        <v>2.90163386196831</v>
      </c>
      <c r="M18" s="2">
        <v>19.751601236838326</v>
      </c>
      <c r="N18" s="2">
        <v>3.431425389489104</v>
      </c>
      <c r="O18" s="2">
        <v>0</v>
      </c>
      <c r="P18" s="2">
        <v>0</v>
      </c>
      <c r="Q18" s="2">
        <v>0</v>
      </c>
      <c r="R18" s="2">
        <v>1.178388640268845</v>
      </c>
      <c r="S18" s="2">
        <v>1.655406797110702</v>
      </c>
      <c r="T18" s="2">
        <v>19.881798581635181</v>
      </c>
      <c r="U18" s="2">
        <v>2.854815292766915</v>
      </c>
      <c r="V18" s="2">
        <v>3.9952207660305028</v>
      </c>
      <c r="W18" s="2">
        <v>3.583109269336628</v>
      </c>
      <c r="X18" s="2">
        <v>3.3471388862789468</v>
      </c>
      <c r="Y18" s="2">
        <v>3.0230182073229388</v>
      </c>
      <c r="Z18" s="2">
        <v>4.6294119779077789</v>
      </c>
      <c r="AA18" s="2">
        <v>0.49182408272484063</v>
      </c>
      <c r="AB18" s="2">
        <v>1.6276311768819538</v>
      </c>
      <c r="AC18" s="2">
        <v>1.1338754924797416</v>
      </c>
      <c r="AD18" s="2">
        <v>0.85837252025228006</v>
      </c>
      <c r="AE18" s="2">
        <v>0.74035744874900267</v>
      </c>
      <c r="AF18" s="2">
        <v>2.6262573580415731</v>
      </c>
      <c r="AG18" s="2">
        <v>0.54</v>
      </c>
      <c r="AH18" s="2">
        <v>29.8</v>
      </c>
      <c r="AI18" s="2">
        <v>4.24</v>
      </c>
      <c r="AJ18" s="2"/>
      <c r="AK18" s="2"/>
      <c r="AL18" s="2"/>
      <c r="AM18" s="2"/>
      <c r="AN18" s="2"/>
    </row>
    <row r="19" spans="1:40" x14ac:dyDescent="0.35">
      <c r="A19" s="11"/>
      <c r="B19">
        <v>16</v>
      </c>
      <c r="C19" s="2">
        <v>1.787719122028032</v>
      </c>
      <c r="D19" s="2">
        <v>2.2588200882175449</v>
      </c>
      <c r="E19" s="2">
        <v>2.4260064231974554</v>
      </c>
      <c r="F19" s="2">
        <v>3.798822916758203</v>
      </c>
      <c r="G19" s="2">
        <v>3.281020338697294</v>
      </c>
      <c r="H19" s="2">
        <v>4.1656133253877288</v>
      </c>
      <c r="I19" s="2">
        <v>0.1851856162004189</v>
      </c>
      <c r="J19" s="2">
        <v>3.507480522655789</v>
      </c>
      <c r="K19" s="2">
        <v>2.4338767636630085</v>
      </c>
      <c r="L19" s="2">
        <v>4.0784431648340957</v>
      </c>
      <c r="M19" s="2">
        <v>10.268956494007341</v>
      </c>
      <c r="N19" s="2">
        <v>2.3611694726823642</v>
      </c>
      <c r="O19" s="2">
        <v>0</v>
      </c>
      <c r="P19" s="2">
        <v>0</v>
      </c>
      <c r="Q19" s="2">
        <v>0</v>
      </c>
      <c r="R19" s="2">
        <v>1.5335645712651169</v>
      </c>
      <c r="S19" s="2">
        <v>1.9144381814440981</v>
      </c>
      <c r="T19" s="2">
        <v>28.624368650487952</v>
      </c>
      <c r="U19" s="2">
        <v>2.3282110920268142</v>
      </c>
      <c r="V19" s="2">
        <v>3.676644686337021</v>
      </c>
      <c r="W19" s="2">
        <v>2.6182877729855019</v>
      </c>
      <c r="X19" s="2">
        <v>3.2709711630719451</v>
      </c>
      <c r="Y19" s="2">
        <v>3.3783831252631571</v>
      </c>
      <c r="Z19" s="2">
        <v>2.999726186134112</v>
      </c>
      <c r="AA19" s="2">
        <v>0.34744008091290995</v>
      </c>
      <c r="AB19" s="2">
        <v>0.68746832899096599</v>
      </c>
      <c r="AC19" s="2">
        <v>0.79890573835375733</v>
      </c>
      <c r="AD19" s="2">
        <v>1.6284585546968122</v>
      </c>
      <c r="AE19" s="2">
        <v>1.2363889748790624</v>
      </c>
      <c r="AF19" s="2">
        <v>4.4036286448215094</v>
      </c>
      <c r="AG19" s="2">
        <v>0.35</v>
      </c>
      <c r="AH19" s="2">
        <v>27.9</v>
      </c>
      <c r="AI19" s="2">
        <v>3.82</v>
      </c>
      <c r="AJ19" s="2"/>
      <c r="AK19" s="2"/>
      <c r="AL19" s="2"/>
      <c r="AM19" s="2"/>
      <c r="AN19" s="2"/>
    </row>
    <row r="20" spans="1:40" x14ac:dyDescent="0.35">
      <c r="A20" s="11"/>
      <c r="B20">
        <v>17</v>
      </c>
      <c r="C20" s="2">
        <v>1.284829605742841</v>
      </c>
      <c r="D20" s="2">
        <v>2.3303446229044416</v>
      </c>
      <c r="E20" s="2">
        <v>2.0206260688643032</v>
      </c>
      <c r="F20" s="2">
        <v>3.087326020222366</v>
      </c>
      <c r="G20" s="2">
        <v>3.9616197976835701</v>
      </c>
      <c r="H20" s="2">
        <v>1.554426750993162</v>
      </c>
      <c r="I20" s="2">
        <v>0.3170838430918656</v>
      </c>
      <c r="J20" s="2">
        <v>4.5895123798930539</v>
      </c>
      <c r="K20" s="2">
        <v>1.908674565219062</v>
      </c>
      <c r="L20" s="2">
        <v>1.9242370723411339</v>
      </c>
      <c r="M20" s="2">
        <v>22.173044775059655</v>
      </c>
      <c r="N20" s="2">
        <v>1.5307558261905809</v>
      </c>
      <c r="O20" s="2">
        <v>0</v>
      </c>
      <c r="P20" s="2">
        <v>0</v>
      </c>
      <c r="Q20" s="2">
        <v>0</v>
      </c>
      <c r="R20" s="2">
        <v>0.48361080463413292</v>
      </c>
      <c r="S20" s="2">
        <v>0.75110761753794375</v>
      </c>
      <c r="T20" s="2">
        <v>18.87852249436429</v>
      </c>
      <c r="U20" s="2">
        <v>3.7367132486115491</v>
      </c>
      <c r="V20" s="2">
        <v>4.765439297629082</v>
      </c>
      <c r="W20" s="2">
        <v>4.1891487111363386</v>
      </c>
      <c r="X20" s="2">
        <v>2.2713198356124629</v>
      </c>
      <c r="Y20" s="2">
        <v>4.1046512928609991</v>
      </c>
      <c r="Z20" s="2">
        <v>4.5104016239409024</v>
      </c>
      <c r="AA20" s="2">
        <v>0.60972424374271739</v>
      </c>
      <c r="AB20" s="2">
        <v>1.4465564559035435</v>
      </c>
      <c r="AC20" s="2">
        <v>0.66900480219179703</v>
      </c>
      <c r="AD20" s="2">
        <v>1.683812483766296</v>
      </c>
      <c r="AE20" s="2">
        <v>1.259750140494684</v>
      </c>
      <c r="AF20" s="2">
        <v>3.9577556193672279</v>
      </c>
      <c r="AG20" s="2">
        <v>0.53</v>
      </c>
      <c r="AH20" s="2">
        <v>29.1</v>
      </c>
      <c r="AI20" s="2">
        <v>2.95</v>
      </c>
      <c r="AJ20" s="2"/>
      <c r="AK20" s="2"/>
      <c r="AL20" s="2"/>
      <c r="AM20" s="2"/>
      <c r="AN20" s="2"/>
    </row>
    <row r="21" spans="1:40" x14ac:dyDescent="0.35">
      <c r="A21" s="11"/>
      <c r="B21">
        <v>18</v>
      </c>
      <c r="C21" s="2">
        <v>4.4319020670523557</v>
      </c>
      <c r="D21" s="2">
        <v>1.8535303514357999</v>
      </c>
      <c r="E21" s="2">
        <v>1.7212510522363822</v>
      </c>
      <c r="F21" s="2">
        <v>2.668059197815845</v>
      </c>
      <c r="G21" s="2">
        <v>4.2214346487890513</v>
      </c>
      <c r="H21" s="2">
        <v>2.6297301451952269</v>
      </c>
      <c r="I21" s="2">
        <v>0.16401597017609951</v>
      </c>
      <c r="J21" s="2">
        <v>5.1910500760009288</v>
      </c>
      <c r="K21" s="2">
        <v>1.9597007868164704</v>
      </c>
      <c r="L21" s="2">
        <v>3.9731378394669732</v>
      </c>
      <c r="M21" s="2">
        <v>19.927976435873802</v>
      </c>
      <c r="N21" s="2">
        <v>3.5264562306723088</v>
      </c>
      <c r="O21" s="2">
        <v>0</v>
      </c>
      <c r="P21" s="2">
        <v>0</v>
      </c>
      <c r="Q21" s="2">
        <v>0</v>
      </c>
      <c r="R21" s="2">
        <v>1.0386649542674331</v>
      </c>
      <c r="S21" s="2">
        <v>0.18221248330217649</v>
      </c>
      <c r="T21" s="2">
        <v>13.025035766954829</v>
      </c>
      <c r="U21" s="2">
        <v>2.1754003837660791</v>
      </c>
      <c r="V21" s="2">
        <v>5.2066850270376426</v>
      </c>
      <c r="W21" s="2">
        <v>4.9273598961037166</v>
      </c>
      <c r="X21" s="2">
        <v>4.9950264981412351</v>
      </c>
      <c r="Y21" s="2">
        <v>3.393372868989696</v>
      </c>
      <c r="Z21" s="2">
        <v>3.7277721997916822</v>
      </c>
      <c r="AA21" s="2">
        <v>0.43540169501519732</v>
      </c>
      <c r="AB21" s="2">
        <v>1.6404533772735317</v>
      </c>
      <c r="AC21" s="2">
        <v>0.5202191981394777</v>
      </c>
      <c r="AD21" s="2">
        <v>1.3171317538175018</v>
      </c>
      <c r="AE21" s="2">
        <v>0.85788256982137601</v>
      </c>
      <c r="AF21" s="2">
        <v>4.2891365260471899</v>
      </c>
      <c r="AG21" s="2">
        <v>0.22</v>
      </c>
      <c r="AH21" s="2">
        <v>31.4</v>
      </c>
      <c r="AI21" s="2">
        <v>2.68</v>
      </c>
      <c r="AJ21" s="2"/>
      <c r="AK21" s="2"/>
      <c r="AL21" s="2"/>
      <c r="AM21" s="2"/>
      <c r="AN21" s="2"/>
    </row>
    <row r="22" spans="1:40" x14ac:dyDescent="0.35">
      <c r="A22" s="11"/>
      <c r="B22">
        <v>19</v>
      </c>
      <c r="C22" s="2">
        <v>1.9637459492061531</v>
      </c>
      <c r="D22" s="2">
        <v>2.1745080943640325</v>
      </c>
      <c r="E22" s="2">
        <v>2.2704376917555167</v>
      </c>
      <c r="F22" s="2">
        <v>1.591387613160812</v>
      </c>
      <c r="G22" s="2">
        <v>3.051902339239609</v>
      </c>
      <c r="H22" s="2">
        <v>3.195775448468035</v>
      </c>
      <c r="I22" s="2">
        <v>0.20363523434421721</v>
      </c>
      <c r="J22" s="2">
        <v>3.0433314427442588</v>
      </c>
      <c r="K22" s="2">
        <v>2.0619329473121657</v>
      </c>
      <c r="L22" s="2">
        <v>2.1715110876271608</v>
      </c>
      <c r="M22" s="2">
        <v>17.247771579823088</v>
      </c>
      <c r="N22" s="2">
        <v>2.4424603453551339</v>
      </c>
      <c r="O22" s="2">
        <v>0</v>
      </c>
      <c r="P22" s="2">
        <v>0</v>
      </c>
      <c r="Q22" s="2">
        <v>0</v>
      </c>
      <c r="R22" s="2">
        <v>1.338083858820895</v>
      </c>
      <c r="S22" s="2">
        <v>1.9730402319453779</v>
      </c>
      <c r="T22" s="2">
        <v>23.137283601875126</v>
      </c>
      <c r="U22" s="2">
        <v>3.270805409063545</v>
      </c>
      <c r="V22" s="2">
        <v>5.4617964091534636</v>
      </c>
      <c r="W22" s="2">
        <v>3.6331762046074041</v>
      </c>
      <c r="X22" s="2">
        <v>4.3781365212034</v>
      </c>
      <c r="Y22" s="2">
        <v>3.2467302229784738</v>
      </c>
      <c r="Z22" s="2">
        <v>4.6287278200155342</v>
      </c>
      <c r="AA22" s="2">
        <v>1.1582811775920123</v>
      </c>
      <c r="AB22" s="2">
        <v>1.5068681074973576</v>
      </c>
      <c r="AC22" s="2">
        <v>0.95014814169252304</v>
      </c>
      <c r="AD22" s="2">
        <v>1.5576464217912138</v>
      </c>
      <c r="AE22" s="2">
        <v>0.80603422505819811</v>
      </c>
      <c r="AF22" s="2">
        <v>1.5348418733052991</v>
      </c>
      <c r="AG22" s="2">
        <v>0.05</v>
      </c>
      <c r="AH22" s="2">
        <v>27.5</v>
      </c>
      <c r="AI22" s="2">
        <v>2.21</v>
      </c>
      <c r="AJ22" s="2"/>
      <c r="AK22" s="2"/>
      <c r="AL22" s="2"/>
      <c r="AM22" s="2"/>
      <c r="AN22" s="2"/>
    </row>
    <row r="23" spans="1:40" x14ac:dyDescent="0.35">
      <c r="A23" s="11"/>
      <c r="B23">
        <v>20</v>
      </c>
      <c r="C23" s="2">
        <v>1.614612777898754</v>
      </c>
      <c r="D23" s="2">
        <v>2.1008939507767974</v>
      </c>
      <c r="E23" s="2">
        <v>2.0164153176123309</v>
      </c>
      <c r="F23" s="2">
        <v>3.087383239373644</v>
      </c>
      <c r="G23" s="2">
        <v>3.5859408584415311</v>
      </c>
      <c r="H23" s="2">
        <v>4.7572214595043771</v>
      </c>
      <c r="I23" s="2">
        <v>0.15048931657968029</v>
      </c>
      <c r="J23" s="2">
        <v>2.64047281688035</v>
      </c>
      <c r="K23" s="2">
        <v>2.1918429844138201</v>
      </c>
      <c r="L23" s="2">
        <v>3.39307588150076</v>
      </c>
      <c r="M23" s="2">
        <v>16.154658546555353</v>
      </c>
      <c r="N23" s="2">
        <v>4.3821616944598896</v>
      </c>
      <c r="O23" s="2">
        <v>0</v>
      </c>
      <c r="P23" s="2">
        <v>0</v>
      </c>
      <c r="Q23" s="2">
        <v>0</v>
      </c>
      <c r="R23" s="2">
        <v>0.70138310650561253</v>
      </c>
      <c r="S23" s="2">
        <v>2.2631070940547171</v>
      </c>
      <c r="T23" s="2">
        <v>22.669104772482598</v>
      </c>
      <c r="U23" s="2">
        <v>4.785517146889708</v>
      </c>
      <c r="V23" s="2">
        <v>2.5530075209125771</v>
      </c>
      <c r="W23" s="2">
        <v>4.1254505059154472</v>
      </c>
      <c r="X23" s="2">
        <v>3.9325182332694282</v>
      </c>
      <c r="Y23" s="2">
        <v>1.967436150802754</v>
      </c>
      <c r="Z23" s="2">
        <v>2.5543923647981992</v>
      </c>
      <c r="AA23" s="2">
        <v>1.0264157556896663</v>
      </c>
      <c r="AB23" s="2">
        <v>0.61194870895468167</v>
      </c>
      <c r="AC23" s="2">
        <v>0.62938910376160873</v>
      </c>
      <c r="AD23" s="2">
        <v>0.93503623651326129</v>
      </c>
      <c r="AE23" s="2">
        <v>0.93949099367898137</v>
      </c>
      <c r="AF23" s="2">
        <v>4.2306334617734702</v>
      </c>
      <c r="AG23" s="2">
        <v>0.57999999999999996</v>
      </c>
      <c r="AH23" s="2">
        <v>28.5</v>
      </c>
      <c r="AI23" s="2">
        <v>1.26</v>
      </c>
      <c r="AJ23" s="2"/>
      <c r="AK23" s="2"/>
      <c r="AL23" s="2"/>
      <c r="AM23" s="2"/>
      <c r="AN23" s="2"/>
    </row>
    <row r="24" spans="1:40" x14ac:dyDescent="0.35">
      <c r="A24" s="1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x14ac:dyDescent="0.35">
      <c r="A25" s="11" t="s">
        <v>36</v>
      </c>
      <c r="B25">
        <v>0</v>
      </c>
      <c r="C25" s="2">
        <v>1.93</v>
      </c>
      <c r="D25" s="2">
        <v>0.90199855626702963</v>
      </c>
      <c r="E25" s="2">
        <v>0.96504423602599332</v>
      </c>
      <c r="F25" s="2">
        <v>2.7347820871744939</v>
      </c>
      <c r="G25" s="2">
        <v>6.1209308869660104</v>
      </c>
      <c r="H25" s="2">
        <v>2.9336883184715599</v>
      </c>
      <c r="I25" s="2">
        <v>0.29170951069325757</v>
      </c>
      <c r="J25" s="2">
        <v>1.1234063665931571</v>
      </c>
      <c r="K25" s="2">
        <v>2.3009177896017157</v>
      </c>
      <c r="L25" s="2">
        <v>5.9222015690657006</v>
      </c>
      <c r="M25" s="2">
        <v>24.961249996468062</v>
      </c>
      <c r="N25" s="2">
        <v>2.3529824358858948</v>
      </c>
      <c r="O25" s="2">
        <v>0</v>
      </c>
      <c r="P25" s="2">
        <v>0</v>
      </c>
      <c r="Q25" s="2">
        <v>0</v>
      </c>
      <c r="R25" s="2">
        <v>2.432678226771225</v>
      </c>
      <c r="S25" s="2">
        <v>3.435853433503945</v>
      </c>
      <c r="T25" s="2">
        <v>12.238948967081583</v>
      </c>
      <c r="U25" s="2">
        <v>0.64287047263897645</v>
      </c>
      <c r="V25" s="2">
        <v>5.285087730358538</v>
      </c>
      <c r="W25" s="2">
        <v>1.985090091530777</v>
      </c>
      <c r="X25" s="2">
        <v>3.623089635538137</v>
      </c>
      <c r="Y25" s="2">
        <v>3.767818237103076</v>
      </c>
      <c r="Z25" s="2">
        <v>4.3785814213992271</v>
      </c>
      <c r="AA25" s="2">
        <v>0.35271717055578833</v>
      </c>
      <c r="AB25" s="2">
        <v>0.92170837866607169</v>
      </c>
      <c r="AC25" s="2">
        <v>1.388413320513707</v>
      </c>
      <c r="AD25" s="2">
        <v>1.4710784036065412</v>
      </c>
      <c r="AE25" s="2">
        <v>1.5114918531908017</v>
      </c>
      <c r="AF25" s="2">
        <v>4.025660904328733</v>
      </c>
      <c r="AG25" s="2">
        <v>7.95</v>
      </c>
      <c r="AH25" s="2">
        <v>42</v>
      </c>
      <c r="AI25" s="2">
        <v>15</v>
      </c>
      <c r="AJ25" s="2"/>
      <c r="AK25" s="2"/>
      <c r="AL25" s="2"/>
      <c r="AM25" s="2"/>
      <c r="AN25" s="2"/>
    </row>
    <row r="26" spans="1:40" x14ac:dyDescent="0.35">
      <c r="A26" s="11"/>
      <c r="B26">
        <v>1</v>
      </c>
      <c r="C26" s="2">
        <v>1.63</v>
      </c>
      <c r="D26" s="2">
        <v>1.9233911499612477</v>
      </c>
      <c r="E26" s="2">
        <v>0.1362330750647377</v>
      </c>
      <c r="F26" s="2">
        <v>4.1689941118940208</v>
      </c>
      <c r="G26" s="2">
        <v>4.5843154525126373</v>
      </c>
      <c r="H26" s="2">
        <v>4.4260649928434086</v>
      </c>
      <c r="I26" s="2">
        <v>0.4381666773709802</v>
      </c>
      <c r="J26" s="2">
        <v>4.7109672294780571</v>
      </c>
      <c r="K26" s="2">
        <v>2.3775501640289183</v>
      </c>
      <c r="L26" s="2">
        <v>3.0312655312982608</v>
      </c>
      <c r="M26" s="2">
        <v>22.070117429496896</v>
      </c>
      <c r="N26" s="2">
        <v>2.553863936798046</v>
      </c>
      <c r="O26" s="2">
        <v>0</v>
      </c>
      <c r="P26" s="2">
        <v>0</v>
      </c>
      <c r="Q26" s="2">
        <v>0</v>
      </c>
      <c r="R26" s="2">
        <v>4.3011491546401794</v>
      </c>
      <c r="S26" s="2">
        <v>2.9119740934562111</v>
      </c>
      <c r="T26" s="2">
        <v>20.918392720488043</v>
      </c>
      <c r="U26" s="2">
        <v>0.73544487533436653</v>
      </c>
      <c r="V26" s="2">
        <v>1.6440155658123841</v>
      </c>
      <c r="W26" s="2">
        <v>1.2051217227853031</v>
      </c>
      <c r="X26" s="2">
        <v>4.5865736066538716</v>
      </c>
      <c r="Y26" s="2">
        <v>9.0602765204176122E-2</v>
      </c>
      <c r="Z26" s="2">
        <v>2.5553122593961142</v>
      </c>
      <c r="AA26" s="2">
        <v>0.88708339071828191</v>
      </c>
      <c r="AB26" s="2">
        <v>0.61555854748026262</v>
      </c>
      <c r="AC26" s="2">
        <v>1.7351577283525792</v>
      </c>
      <c r="AD26" s="2">
        <v>1.4671610800612174</v>
      </c>
      <c r="AE26" s="2">
        <v>2.0600149075348546</v>
      </c>
      <c r="AF26" s="2">
        <v>2.2355078313349459</v>
      </c>
      <c r="AG26" s="2">
        <v>6.79</v>
      </c>
      <c r="AH26" s="2">
        <v>37.799999999999997</v>
      </c>
      <c r="AI26" s="2">
        <v>14.19</v>
      </c>
      <c r="AJ26" s="2"/>
      <c r="AK26" s="2"/>
      <c r="AL26" s="2"/>
      <c r="AM26" s="2"/>
      <c r="AN26" s="2"/>
    </row>
    <row r="27" spans="1:40" x14ac:dyDescent="0.35">
      <c r="A27" s="11"/>
      <c r="B27">
        <v>2</v>
      </c>
      <c r="C27" s="2">
        <v>2.2400000000000002</v>
      </c>
      <c r="D27" s="2">
        <v>1.3784735598441957</v>
      </c>
      <c r="E27" s="2">
        <v>1.2401107207382287</v>
      </c>
      <c r="F27" s="2">
        <v>2.5874803003220661</v>
      </c>
      <c r="G27" s="2">
        <v>3.9666200513667058</v>
      </c>
      <c r="H27" s="2">
        <v>4.21869209640648</v>
      </c>
      <c r="I27" s="2">
        <v>0.30235822805256241</v>
      </c>
      <c r="J27" s="2">
        <v>0.85354339574271809</v>
      </c>
      <c r="K27" s="2">
        <v>1.3349474786165605</v>
      </c>
      <c r="L27" s="2">
        <v>2.7464201031432149</v>
      </c>
      <c r="M27" s="2">
        <v>24.217990548668656</v>
      </c>
      <c r="N27" s="2">
        <v>2.7530101287445272</v>
      </c>
      <c r="O27" s="2">
        <v>0</v>
      </c>
      <c r="P27" s="2">
        <v>0</v>
      </c>
      <c r="Q27" s="2">
        <v>0</v>
      </c>
      <c r="R27" s="2">
        <v>5.0922112993598372</v>
      </c>
      <c r="S27" s="2">
        <v>5.4444588540291461</v>
      </c>
      <c r="T27" s="2">
        <v>16.273313782771083</v>
      </c>
      <c r="U27" s="2">
        <v>3.8337449630786198</v>
      </c>
      <c r="V27" s="2">
        <v>3.9162704668363899</v>
      </c>
      <c r="W27" s="2">
        <v>3.488750832896049</v>
      </c>
      <c r="X27" s="2">
        <v>1.692990333329176</v>
      </c>
      <c r="Y27" s="2">
        <v>0.87171428341861734</v>
      </c>
      <c r="Z27" s="2">
        <v>2.4267372612968958</v>
      </c>
      <c r="AA27" s="2">
        <v>0.89</v>
      </c>
      <c r="AB27" s="2">
        <v>0.85881307803689244</v>
      </c>
      <c r="AC27" s="2">
        <v>1.1337328643762372</v>
      </c>
      <c r="AD27" s="2">
        <v>1.1278067460944956</v>
      </c>
      <c r="AE27" s="2">
        <v>1.7431796014001855</v>
      </c>
      <c r="AF27" s="2">
        <v>3.3666290214304762</v>
      </c>
      <c r="AG27" s="2">
        <v>5.45</v>
      </c>
      <c r="AH27" s="2">
        <v>36.6</v>
      </c>
      <c r="AI27" s="2">
        <v>13.79</v>
      </c>
      <c r="AJ27" s="2"/>
      <c r="AK27" s="2"/>
      <c r="AL27" s="2"/>
      <c r="AM27" s="2"/>
      <c r="AN27" s="2"/>
    </row>
    <row r="28" spans="1:40" x14ac:dyDescent="0.35">
      <c r="A28" s="11"/>
      <c r="B28">
        <v>3</v>
      </c>
      <c r="C28" s="2">
        <v>3.04</v>
      </c>
      <c r="D28" s="2">
        <v>1.3505338795650628</v>
      </c>
      <c r="E28" s="2">
        <v>1.2282421155294105</v>
      </c>
      <c r="F28" s="2">
        <v>4.0073835852645514</v>
      </c>
      <c r="G28" s="2">
        <v>3.7272178453401779</v>
      </c>
      <c r="H28" s="2">
        <v>1.71931148430684</v>
      </c>
      <c r="I28" s="2">
        <v>0.30531201716201051</v>
      </c>
      <c r="J28" s="2">
        <v>1.245061933242571</v>
      </c>
      <c r="K28" s="2">
        <v>1.824965720869139</v>
      </c>
      <c r="L28" s="2">
        <v>2.180478130751335</v>
      </c>
      <c r="M28" s="2">
        <v>28.201717406152586</v>
      </c>
      <c r="N28" s="2">
        <v>2.166662576956778</v>
      </c>
      <c r="O28" s="2">
        <v>0</v>
      </c>
      <c r="P28" s="2">
        <v>0</v>
      </c>
      <c r="Q28" s="2">
        <v>0</v>
      </c>
      <c r="R28" s="2">
        <v>5.5113415793525782</v>
      </c>
      <c r="S28" s="2">
        <v>3.553232693361124</v>
      </c>
      <c r="T28" s="2">
        <v>14.934220879770507</v>
      </c>
      <c r="U28" s="2">
        <v>1.3018430514425441</v>
      </c>
      <c r="V28" s="2">
        <v>3.0385282555439321</v>
      </c>
      <c r="W28" s="2">
        <v>1.270100056518366</v>
      </c>
      <c r="X28" s="2">
        <v>3.4321807307940171</v>
      </c>
      <c r="Y28" s="2">
        <v>1.711347344318783</v>
      </c>
      <c r="Z28" s="2">
        <v>3.525701702757424</v>
      </c>
      <c r="AA28" s="2">
        <v>0.84333333333333327</v>
      </c>
      <c r="AB28" s="2">
        <v>1.4967718072004192</v>
      </c>
      <c r="AC28" s="2">
        <v>1.9115464544958061</v>
      </c>
      <c r="AD28" s="2">
        <v>1.0477852715252436</v>
      </c>
      <c r="AE28" s="2">
        <v>2.0697065461744213</v>
      </c>
      <c r="AF28" s="2">
        <v>3.3554735982710509</v>
      </c>
      <c r="AG28" s="2">
        <v>4.74</v>
      </c>
      <c r="AH28" s="2">
        <v>38.299999999999997</v>
      </c>
      <c r="AI28" s="2">
        <v>12.53</v>
      </c>
      <c r="AJ28" s="2"/>
      <c r="AK28" s="2"/>
      <c r="AL28" s="2"/>
      <c r="AM28" s="2"/>
      <c r="AN28" s="2"/>
    </row>
    <row r="29" spans="1:40" x14ac:dyDescent="0.35">
      <c r="A29" s="11"/>
      <c r="B29">
        <v>4</v>
      </c>
      <c r="C29" s="2">
        <v>3.01</v>
      </c>
      <c r="D29" s="2">
        <v>1.6331627528162498</v>
      </c>
      <c r="E29" s="2">
        <v>0.49452844107552368</v>
      </c>
      <c r="F29" s="2">
        <v>4.2580482389637924</v>
      </c>
      <c r="G29" s="2">
        <v>3.863308481988144</v>
      </c>
      <c r="H29" s="2">
        <v>1.9755763230437959</v>
      </c>
      <c r="I29" s="2">
        <v>0.26234979914313189</v>
      </c>
      <c r="J29" s="2">
        <v>2.581786305984231</v>
      </c>
      <c r="K29" s="2">
        <v>2.4945751806737353</v>
      </c>
      <c r="L29" s="2">
        <v>3.906663099051372</v>
      </c>
      <c r="M29" s="2">
        <v>17.880807108345646</v>
      </c>
      <c r="N29" s="2">
        <v>1.2190435643148969</v>
      </c>
      <c r="O29" s="2">
        <v>0</v>
      </c>
      <c r="P29" s="2">
        <v>0</v>
      </c>
      <c r="Q29" s="2">
        <v>0</v>
      </c>
      <c r="R29" s="2">
        <v>5.5668523045322758</v>
      </c>
      <c r="S29" s="2">
        <v>2.9077031093768539</v>
      </c>
      <c r="T29" s="2">
        <v>23.071148192288192</v>
      </c>
      <c r="U29" s="2">
        <v>3.5192283286312822</v>
      </c>
      <c r="V29" s="2">
        <v>1.777391845416872</v>
      </c>
      <c r="W29" s="2">
        <v>3.5625431231110798</v>
      </c>
      <c r="X29" s="2">
        <v>1.366932616191098</v>
      </c>
      <c r="Y29" s="2">
        <v>1.99</v>
      </c>
      <c r="Z29" s="2">
        <v>3.62</v>
      </c>
      <c r="AA29" s="2">
        <v>0.85</v>
      </c>
      <c r="AB29" s="2">
        <v>1.208042149418143</v>
      </c>
      <c r="AC29" s="2">
        <v>1.879051570132539</v>
      </c>
      <c r="AD29" s="2">
        <v>0.66207799914682197</v>
      </c>
      <c r="AE29" s="2">
        <v>1.2911412084682203</v>
      </c>
      <c r="AF29" s="2">
        <v>3.1480382578861201</v>
      </c>
      <c r="AG29" s="2">
        <v>4.13</v>
      </c>
      <c r="AH29" s="2">
        <v>37.299999999999997</v>
      </c>
      <c r="AI29" s="2">
        <v>12.36</v>
      </c>
      <c r="AJ29" s="2"/>
      <c r="AK29" s="2"/>
      <c r="AL29" s="2"/>
      <c r="AM29" s="2"/>
      <c r="AN29" s="2"/>
    </row>
    <row r="30" spans="1:40" x14ac:dyDescent="0.35">
      <c r="A30" s="11"/>
      <c r="B30">
        <v>5</v>
      </c>
      <c r="C30" s="2">
        <v>4.8976770596320582</v>
      </c>
      <c r="D30" s="2">
        <v>0.96794940647457339</v>
      </c>
      <c r="E30" s="2">
        <v>0.23435406167764994</v>
      </c>
      <c r="F30" s="2">
        <v>3.708811858402516</v>
      </c>
      <c r="G30" s="2">
        <v>4.9407105038075896</v>
      </c>
      <c r="H30" s="2">
        <v>4.287046518082402</v>
      </c>
      <c r="I30" s="2">
        <v>0.44615680036812372</v>
      </c>
      <c r="J30" s="2">
        <v>2.4123068648146528</v>
      </c>
      <c r="K30" s="2">
        <v>1.628848285181427</v>
      </c>
      <c r="L30" s="2">
        <v>3.5800246854543158</v>
      </c>
      <c r="M30" s="2">
        <v>18.078086422315579</v>
      </c>
      <c r="N30" s="2">
        <v>3.841227905929105</v>
      </c>
      <c r="O30" s="2">
        <v>0</v>
      </c>
      <c r="P30" s="2">
        <v>0</v>
      </c>
      <c r="Q30" s="2">
        <v>0</v>
      </c>
      <c r="R30" s="2">
        <v>4.3304416133498256</v>
      </c>
      <c r="S30" s="2">
        <v>2.5721436996768272</v>
      </c>
      <c r="T30" s="2">
        <v>19.973154733381492</v>
      </c>
      <c r="U30" s="2">
        <v>0.80605114969203995</v>
      </c>
      <c r="V30" s="2">
        <v>2.3865424432399212</v>
      </c>
      <c r="W30" s="2">
        <v>4.5023795824848971</v>
      </c>
      <c r="X30" s="2">
        <v>4.2283997238051159</v>
      </c>
      <c r="Y30" s="2">
        <v>1.114061414427685</v>
      </c>
      <c r="Z30" s="2">
        <v>3.1959885029249229</v>
      </c>
      <c r="AA30" s="2">
        <v>0.49666666666666665</v>
      </c>
      <c r="AB30" s="2">
        <v>1.7100697077001559</v>
      </c>
      <c r="AC30" s="2">
        <v>0.80134348401470434</v>
      </c>
      <c r="AD30" s="2">
        <v>0.87396111276616839</v>
      </c>
      <c r="AE30" s="2">
        <v>1.9123963508174784</v>
      </c>
      <c r="AF30" s="2">
        <v>2.0731994429121108</v>
      </c>
      <c r="AG30" s="2">
        <v>3.25</v>
      </c>
      <c r="AH30" s="2">
        <v>43.4</v>
      </c>
      <c r="AI30" s="2">
        <v>11.23</v>
      </c>
      <c r="AJ30" s="2"/>
      <c r="AK30" s="2"/>
      <c r="AL30" s="2"/>
      <c r="AM30" s="2"/>
      <c r="AN30" s="2"/>
    </row>
    <row r="31" spans="1:40" x14ac:dyDescent="0.35">
      <c r="A31" s="11"/>
      <c r="B31">
        <v>6</v>
      </c>
      <c r="C31" s="2">
        <v>5.5</v>
      </c>
      <c r="D31" s="2">
        <v>0.96716359923140338</v>
      </c>
      <c r="E31" s="2">
        <v>0.72885115587982241</v>
      </c>
      <c r="F31" s="2">
        <v>1.862045350687787</v>
      </c>
      <c r="G31" s="2">
        <v>4.2924069276284529</v>
      </c>
      <c r="H31" s="2">
        <v>2.6245274164878309</v>
      </c>
      <c r="I31" s="2">
        <v>0.32878122343455318</v>
      </c>
      <c r="J31" s="2">
        <v>2.1642723327239479</v>
      </c>
      <c r="K31" s="2">
        <v>2.5494050484395987</v>
      </c>
      <c r="L31" s="2">
        <v>4.2569544170952138</v>
      </c>
      <c r="M31" s="2">
        <v>18.444931810157748</v>
      </c>
      <c r="N31" s="2">
        <v>2.1545931329437731</v>
      </c>
      <c r="O31" s="2">
        <v>0</v>
      </c>
      <c r="P31" s="2">
        <v>0</v>
      </c>
      <c r="Q31" s="2">
        <v>0</v>
      </c>
      <c r="R31" s="2">
        <v>2.928371033004844</v>
      </c>
      <c r="S31" s="2">
        <v>4.6234715328943921</v>
      </c>
      <c r="T31" s="2">
        <v>22.976497339020256</v>
      </c>
      <c r="U31" s="2">
        <v>0.78879703210475383</v>
      </c>
      <c r="V31" s="2">
        <v>4.1164900849548127</v>
      </c>
      <c r="W31" s="2">
        <v>2.6195104639295952</v>
      </c>
      <c r="X31" s="2">
        <v>2.5574777135486211</v>
      </c>
      <c r="Y31" s="2">
        <v>1.660146053552497</v>
      </c>
      <c r="Z31" s="2">
        <v>3.9358992748208772</v>
      </c>
      <c r="AA31" s="2">
        <v>0.82633220721647671</v>
      </c>
      <c r="AB31" s="2">
        <v>1.1156187999020744</v>
      </c>
      <c r="AC31" s="2">
        <v>1.6337300354860442</v>
      </c>
      <c r="AD31" s="2">
        <v>1.292841106115733</v>
      </c>
      <c r="AE31" s="2">
        <v>1.3101895650464475</v>
      </c>
      <c r="AF31" s="2">
        <v>1.7406953436924439</v>
      </c>
      <c r="AG31" s="2">
        <v>3.02</v>
      </c>
      <c r="AH31" s="2">
        <v>42.5</v>
      </c>
      <c r="AI31" s="2">
        <v>10.99</v>
      </c>
      <c r="AJ31" s="2"/>
      <c r="AK31" s="2"/>
      <c r="AL31" s="2"/>
      <c r="AM31" s="2"/>
      <c r="AN31" s="2"/>
    </row>
    <row r="32" spans="1:40" x14ac:dyDescent="0.35">
      <c r="A32" s="11"/>
      <c r="B32">
        <v>7</v>
      </c>
      <c r="C32" s="2">
        <v>5.59</v>
      </c>
      <c r="D32" s="2">
        <v>1.235723636312293</v>
      </c>
      <c r="E32" s="2">
        <v>0.37125981926387136</v>
      </c>
      <c r="F32" s="2">
        <v>0.9851075689917933</v>
      </c>
      <c r="G32" s="2">
        <v>6.660646521838463</v>
      </c>
      <c r="H32" s="2">
        <v>4.5284162426382979</v>
      </c>
      <c r="I32" s="2">
        <v>0.2338828702991369</v>
      </c>
      <c r="J32" s="2">
        <v>2.2107547242517431</v>
      </c>
      <c r="K32" s="2">
        <v>1.3314723528459835</v>
      </c>
      <c r="L32" s="2">
        <v>2.23236514291048</v>
      </c>
      <c r="M32" s="2">
        <v>23.177931025149896</v>
      </c>
      <c r="N32" s="2">
        <v>1.428665249881018</v>
      </c>
      <c r="O32" s="2">
        <v>0</v>
      </c>
      <c r="P32" s="2">
        <v>0</v>
      </c>
      <c r="Q32" s="2">
        <v>0</v>
      </c>
      <c r="R32" s="2">
        <v>3.9406653768380351</v>
      </c>
      <c r="S32" s="2">
        <v>3.4112235244364331</v>
      </c>
      <c r="T32" s="2">
        <v>16.015664682867524</v>
      </c>
      <c r="U32" s="2">
        <v>3.1154334161094992</v>
      </c>
      <c r="V32" s="2">
        <v>2.3072547903063452</v>
      </c>
      <c r="W32" s="2">
        <v>3.5770466747854051</v>
      </c>
      <c r="X32" s="2">
        <v>2.8208772783776932</v>
      </c>
      <c r="Y32" s="2">
        <v>1.879832048748789</v>
      </c>
      <c r="Z32" s="2">
        <v>5.4160710907860006</v>
      </c>
      <c r="AA32" s="2">
        <v>0.78767223517004803</v>
      </c>
      <c r="AB32" s="2">
        <v>1.5905263134315117</v>
      </c>
      <c r="AC32" s="2">
        <v>1.5566728497647826</v>
      </c>
      <c r="AD32" s="2">
        <v>0.6445447029485627</v>
      </c>
      <c r="AE32" s="2">
        <v>1.856009209107109</v>
      </c>
      <c r="AF32" s="2">
        <v>1.094280651939276</v>
      </c>
      <c r="AG32" s="2">
        <v>2.37</v>
      </c>
      <c r="AH32" s="2">
        <v>41.1</v>
      </c>
      <c r="AI32" s="2">
        <v>10.050000000000001</v>
      </c>
      <c r="AJ32" s="2"/>
      <c r="AK32" s="2"/>
      <c r="AL32" s="2"/>
      <c r="AM32" s="2"/>
      <c r="AN32" s="2"/>
    </row>
    <row r="33" spans="1:40" x14ac:dyDescent="0.35">
      <c r="A33" s="11"/>
      <c r="B33">
        <v>8</v>
      </c>
      <c r="C33" s="2">
        <v>5.28</v>
      </c>
      <c r="D33" s="2">
        <v>0.9122252100369711</v>
      </c>
      <c r="E33" s="2">
        <v>0.54387330303473302</v>
      </c>
      <c r="F33" s="2">
        <v>1.1970412521645299</v>
      </c>
      <c r="G33" s="2">
        <v>5.4618400266310152</v>
      </c>
      <c r="H33" s="2">
        <v>4.3500390889623546</v>
      </c>
      <c r="I33" s="2">
        <v>0.31600544556131843</v>
      </c>
      <c r="J33" s="2">
        <v>1.61418423591897</v>
      </c>
      <c r="K33" s="2">
        <v>1.7052349764076056</v>
      </c>
      <c r="L33" s="2">
        <v>5.0446748611688834</v>
      </c>
      <c r="M33" s="2">
        <v>17.892883475580064</v>
      </c>
      <c r="N33" s="2">
        <v>2.1689747662783452</v>
      </c>
      <c r="O33" s="2">
        <v>0</v>
      </c>
      <c r="P33" s="2">
        <v>0</v>
      </c>
      <c r="Q33" s="2">
        <v>0</v>
      </c>
      <c r="R33" s="2">
        <v>3.1547690114393201</v>
      </c>
      <c r="S33" s="2">
        <v>4.9402288133547394</v>
      </c>
      <c r="T33" s="2">
        <v>17.353031817283352</v>
      </c>
      <c r="U33" s="2">
        <v>3.1274847633138201</v>
      </c>
      <c r="V33" s="2">
        <v>4.3471823989541623</v>
      </c>
      <c r="W33" s="2">
        <v>2.052538445313421</v>
      </c>
      <c r="X33" s="2">
        <v>4.7045609514392019</v>
      </c>
      <c r="Y33" s="2">
        <v>0.71362286289631094</v>
      </c>
      <c r="Z33" s="2">
        <v>3.329472729083125</v>
      </c>
      <c r="AA33" s="2">
        <v>0.34005125273841735</v>
      </c>
      <c r="AB33" s="2">
        <v>1.0488631484431317</v>
      </c>
      <c r="AC33" s="2">
        <v>1.318101862974697</v>
      </c>
      <c r="AD33" s="2">
        <v>1.303593699088204</v>
      </c>
      <c r="AE33" s="2">
        <v>2.0524362995376957</v>
      </c>
      <c r="AF33" s="2">
        <v>3.7270853023956141</v>
      </c>
      <c r="AG33" s="2">
        <v>2.0499999999999998</v>
      </c>
      <c r="AH33" s="2">
        <v>43</v>
      </c>
      <c r="AI33" s="2">
        <v>9.2799999999999994</v>
      </c>
      <c r="AJ33" s="2"/>
      <c r="AK33" s="2"/>
      <c r="AL33" s="2"/>
      <c r="AM33" s="2"/>
      <c r="AN33" s="2"/>
    </row>
    <row r="34" spans="1:40" x14ac:dyDescent="0.35">
      <c r="A34" s="11"/>
      <c r="B34">
        <v>9</v>
      </c>
      <c r="C34" s="2">
        <v>4.2206216852512597</v>
      </c>
      <c r="D34" s="2">
        <v>1.488365362073294</v>
      </c>
      <c r="E34" s="2">
        <v>0.23356105579252892</v>
      </c>
      <c r="F34" s="2">
        <v>2.306572636047775</v>
      </c>
      <c r="G34" s="2">
        <v>4.4064058996324196</v>
      </c>
      <c r="H34" s="2">
        <v>2.171318876244642</v>
      </c>
      <c r="I34" s="2">
        <v>0.34793195639830971</v>
      </c>
      <c r="J34" s="2">
        <v>3.4313726317990718</v>
      </c>
      <c r="K34" s="2">
        <v>1.0921585342781079</v>
      </c>
      <c r="L34" s="2">
        <v>4.7447563162762432</v>
      </c>
      <c r="M34" s="2">
        <v>23.839647913345662</v>
      </c>
      <c r="N34" s="2">
        <v>1.7807817951649749</v>
      </c>
      <c r="O34" s="2">
        <v>0</v>
      </c>
      <c r="P34" s="2">
        <v>0</v>
      </c>
      <c r="Q34" s="2">
        <v>0</v>
      </c>
      <c r="R34" s="2">
        <v>2.4566508767300621</v>
      </c>
      <c r="S34" s="2">
        <v>3.8078809417062311</v>
      </c>
      <c r="T34" s="2">
        <v>15.411291273814314</v>
      </c>
      <c r="U34" s="2">
        <v>1.3395088478161541</v>
      </c>
      <c r="V34" s="2">
        <v>3.122498874989744</v>
      </c>
      <c r="W34" s="2">
        <v>4.2517416933083956</v>
      </c>
      <c r="X34" s="2">
        <v>3.624168976564091</v>
      </c>
      <c r="Y34" s="2">
        <v>2.5521224775981688</v>
      </c>
      <c r="Z34" s="2">
        <v>3.920468531499123</v>
      </c>
      <c r="AA34" s="2">
        <v>1.1489678272927897</v>
      </c>
      <c r="AB34" s="2">
        <v>1.1116862817301094</v>
      </c>
      <c r="AC34" s="2">
        <v>1.6337675904607565</v>
      </c>
      <c r="AD34" s="2">
        <v>1.5261776832190703</v>
      </c>
      <c r="AE34" s="2">
        <v>1.1158950390166766</v>
      </c>
      <c r="AF34" s="2">
        <v>2.9136784219499918</v>
      </c>
      <c r="AG34" s="2">
        <v>1.66</v>
      </c>
      <c r="AH34" s="2">
        <v>42.4</v>
      </c>
      <c r="AI34" s="2">
        <v>8.43</v>
      </c>
      <c r="AJ34" s="2"/>
      <c r="AK34" s="2"/>
      <c r="AL34" s="2"/>
      <c r="AM34" s="2"/>
      <c r="AN34" s="2"/>
    </row>
    <row r="35" spans="1:40" x14ac:dyDescent="0.35">
      <c r="A35" s="11"/>
      <c r="B35">
        <v>10</v>
      </c>
      <c r="C35" s="2">
        <v>4.1055618756336054</v>
      </c>
      <c r="D35" s="2">
        <v>1.3317242005280554</v>
      </c>
      <c r="E35" s="2">
        <v>0.42321818839070269</v>
      </c>
      <c r="F35" s="2">
        <v>2.8423223555517461</v>
      </c>
      <c r="G35" s="2">
        <v>6.7404850193332946</v>
      </c>
      <c r="H35" s="2">
        <v>1.6572736251071361</v>
      </c>
      <c r="I35" s="2">
        <v>0.41511840592437332</v>
      </c>
      <c r="J35" s="2">
        <v>4.7595432944780054</v>
      </c>
      <c r="K35" s="2">
        <v>1.5851307031804176</v>
      </c>
      <c r="L35" s="2">
        <v>4.6809120555255861</v>
      </c>
      <c r="M35" s="2">
        <v>21.921327738407292</v>
      </c>
      <c r="N35" s="2">
        <v>1.41765350230145</v>
      </c>
      <c r="O35" s="2">
        <v>0</v>
      </c>
      <c r="P35" s="2">
        <v>0</v>
      </c>
      <c r="Q35" s="2">
        <v>0</v>
      </c>
      <c r="R35" s="2">
        <v>5.515468161650503</v>
      </c>
      <c r="S35" s="2">
        <v>4.3467596719167139</v>
      </c>
      <c r="T35" s="2">
        <v>12.904580617367614</v>
      </c>
      <c r="U35" s="2">
        <v>1.2277268966892561</v>
      </c>
      <c r="V35" s="2">
        <v>5.0116250290212037</v>
      </c>
      <c r="W35" s="2">
        <v>3.5647290441130211</v>
      </c>
      <c r="X35" s="2">
        <v>1.4439964965248631</v>
      </c>
      <c r="Y35" s="2">
        <v>1.2167987320117111</v>
      </c>
      <c r="Z35" s="2">
        <v>4.1344760971005767</v>
      </c>
      <c r="AA35" s="2">
        <v>0.14405980132621493</v>
      </c>
      <c r="AB35" s="2">
        <v>1.1802063891297416</v>
      </c>
      <c r="AC35" s="2">
        <v>1.3845097206617629</v>
      </c>
      <c r="AD35" s="2">
        <v>0.9922406516996799</v>
      </c>
      <c r="AE35" s="2">
        <v>1.7857667257830119</v>
      </c>
      <c r="AF35" s="2">
        <v>3.2667850006424541</v>
      </c>
      <c r="AG35" s="2">
        <v>1.88</v>
      </c>
      <c r="AH35" s="2">
        <v>37.5</v>
      </c>
      <c r="AI35" s="2">
        <v>7.89</v>
      </c>
      <c r="AJ35" s="2"/>
      <c r="AK35" s="2"/>
      <c r="AL35" s="2"/>
      <c r="AM35" s="2"/>
      <c r="AN35" s="2"/>
    </row>
    <row r="36" spans="1:40" x14ac:dyDescent="0.35">
      <c r="A36" s="11"/>
      <c r="B36">
        <v>11</v>
      </c>
      <c r="C36" s="2">
        <v>4.4726019605964158</v>
      </c>
      <c r="D36" s="2">
        <v>1.5342812624346289</v>
      </c>
      <c r="E36" s="2">
        <v>0.84583152940252837</v>
      </c>
      <c r="F36" s="2">
        <v>4.0432440414145576</v>
      </c>
      <c r="G36" s="2">
        <v>6.1658780809067588</v>
      </c>
      <c r="H36" s="2">
        <v>4.0690225376322164</v>
      </c>
      <c r="I36" s="2">
        <v>0.36204705441543272</v>
      </c>
      <c r="J36" s="2">
        <v>1.630383667708472</v>
      </c>
      <c r="K36" s="2">
        <v>2.740265305516361</v>
      </c>
      <c r="L36" s="2">
        <v>2.2860856330312789</v>
      </c>
      <c r="M36" s="2">
        <v>25.183632463618981</v>
      </c>
      <c r="N36" s="2">
        <v>1.4778964674660351</v>
      </c>
      <c r="O36" s="2">
        <v>0</v>
      </c>
      <c r="P36" s="2">
        <v>0</v>
      </c>
      <c r="Q36" s="2">
        <v>0</v>
      </c>
      <c r="R36" s="2">
        <v>3.0858229186830139</v>
      </c>
      <c r="S36" s="2">
        <v>2.967093063081172</v>
      </c>
      <c r="T36" s="2">
        <v>15.553439859976862</v>
      </c>
      <c r="U36" s="2">
        <v>0.75598503831329911</v>
      </c>
      <c r="V36" s="2">
        <v>2.9749212132673351</v>
      </c>
      <c r="W36" s="2">
        <v>1.655411971243258</v>
      </c>
      <c r="X36" s="2">
        <v>2.0139855316609121</v>
      </c>
      <c r="Y36" s="2">
        <v>2.2414136062621219</v>
      </c>
      <c r="Z36" s="2">
        <v>4.6256475464234779</v>
      </c>
      <c r="AA36" s="2">
        <v>0.13323892432548884</v>
      </c>
      <c r="AB36" s="2">
        <v>1.0752127718461078</v>
      </c>
      <c r="AC36" s="2">
        <v>1.4227491312002514</v>
      </c>
      <c r="AD36" s="2">
        <v>1.5875819900577783</v>
      </c>
      <c r="AE36" s="2">
        <v>1.4658279607688185</v>
      </c>
      <c r="AF36" s="2">
        <v>3.630498468746441</v>
      </c>
      <c r="AG36" s="2">
        <v>1.28</v>
      </c>
      <c r="AH36" s="2">
        <v>43.1</v>
      </c>
      <c r="AI36" s="2">
        <v>7.47</v>
      </c>
      <c r="AJ36" s="2"/>
      <c r="AK36" s="2"/>
      <c r="AL36" s="2"/>
      <c r="AM36" s="2"/>
      <c r="AN36" s="2"/>
    </row>
    <row r="37" spans="1:40" x14ac:dyDescent="0.35">
      <c r="A37" s="11"/>
      <c r="B37">
        <v>12</v>
      </c>
      <c r="C37" s="2">
        <v>5.1265844347961291</v>
      </c>
      <c r="D37" s="2">
        <v>0.94335182737090006</v>
      </c>
      <c r="E37" s="2">
        <v>0.73712638675220366</v>
      </c>
      <c r="F37" s="2">
        <v>1.84884042193927</v>
      </c>
      <c r="G37" s="2">
        <v>7.0452715459147637</v>
      </c>
      <c r="H37" s="2">
        <v>2.177303836223774</v>
      </c>
      <c r="I37" s="2">
        <v>0.33524681719794203</v>
      </c>
      <c r="J37" s="2">
        <v>4.1124557181998522</v>
      </c>
      <c r="K37" s="2">
        <v>2.510491973598711</v>
      </c>
      <c r="L37" s="2">
        <v>4.1845848877277447</v>
      </c>
      <c r="M37" s="2">
        <v>12.402737117291815</v>
      </c>
      <c r="N37" s="2">
        <v>2.984387666164821</v>
      </c>
      <c r="O37" s="2">
        <v>0</v>
      </c>
      <c r="P37" s="2">
        <v>0</v>
      </c>
      <c r="Q37" s="2">
        <v>0</v>
      </c>
      <c r="R37" s="2">
        <v>2.4337469199591868</v>
      </c>
      <c r="S37" s="2">
        <v>2.548231440501767</v>
      </c>
      <c r="T37" s="2">
        <v>26.997221354781473</v>
      </c>
      <c r="U37" s="2">
        <v>3.6095440653851671</v>
      </c>
      <c r="V37" s="2">
        <v>1.8886141980272171</v>
      </c>
      <c r="W37" s="2">
        <v>1.3167945947653721</v>
      </c>
      <c r="X37" s="2">
        <v>3.61</v>
      </c>
      <c r="Y37" s="2">
        <v>1.150576291142567</v>
      </c>
      <c r="Z37" s="2">
        <v>3.093916424252976</v>
      </c>
      <c r="AA37" s="2">
        <v>0.99110817991735434</v>
      </c>
      <c r="AB37" s="2">
        <v>0.79264831860858009</v>
      </c>
      <c r="AC37" s="2">
        <v>1.0938813074852354</v>
      </c>
      <c r="AD37" s="2">
        <v>1.916281513018643</v>
      </c>
      <c r="AE37" s="2">
        <v>1.8433576910978804</v>
      </c>
      <c r="AF37" s="2">
        <v>2.305695067878657</v>
      </c>
      <c r="AG37" s="2">
        <v>0.87</v>
      </c>
      <c r="AH37" s="2">
        <v>40.299999999999997</v>
      </c>
      <c r="AI37" s="2">
        <v>6.91</v>
      </c>
      <c r="AJ37" s="2"/>
      <c r="AK37" s="2"/>
      <c r="AL37" s="2"/>
      <c r="AM37" s="2"/>
      <c r="AN37" s="2"/>
    </row>
    <row r="38" spans="1:40" x14ac:dyDescent="0.35">
      <c r="A38" s="11"/>
      <c r="B38">
        <v>13</v>
      </c>
      <c r="C38" s="2">
        <v>4.9451392972627373</v>
      </c>
      <c r="D38" s="2">
        <v>1.6638143673939345</v>
      </c>
      <c r="E38" s="2">
        <v>0.26586308009824278</v>
      </c>
      <c r="F38" s="2">
        <v>3.9437378811415309</v>
      </c>
      <c r="G38" s="2">
        <v>6.2901622350106354</v>
      </c>
      <c r="H38" s="2">
        <v>3.167528975762901</v>
      </c>
      <c r="I38" s="2">
        <v>0.20644161917245502</v>
      </c>
      <c r="J38" s="2">
        <v>3.2819839089219158</v>
      </c>
      <c r="K38" s="2">
        <v>2.5174543629927451</v>
      </c>
      <c r="L38" s="2">
        <v>3.54881905905888</v>
      </c>
      <c r="M38" s="2">
        <v>11.801862176536378</v>
      </c>
      <c r="N38" s="2">
        <v>1.6309937596577671</v>
      </c>
      <c r="O38" s="2">
        <v>0</v>
      </c>
      <c r="P38" s="2">
        <v>0</v>
      </c>
      <c r="Q38" s="2">
        <v>0</v>
      </c>
      <c r="R38" s="2">
        <v>4.3569030635352846</v>
      </c>
      <c r="S38" s="2">
        <v>2.137309514645974</v>
      </c>
      <c r="T38" s="2">
        <v>25.378673079416131</v>
      </c>
      <c r="U38" s="2">
        <v>2.3298801755149738</v>
      </c>
      <c r="V38" s="2">
        <v>2.9690179616951329</v>
      </c>
      <c r="W38" s="2">
        <v>2.130412480009253</v>
      </c>
      <c r="X38" s="2">
        <v>3.9618851362424499</v>
      </c>
      <c r="Y38" s="2">
        <v>0.95622502960807376</v>
      </c>
      <c r="Z38" s="2">
        <v>4.8235321017276522</v>
      </c>
      <c r="AA38" s="2">
        <v>1.1797311156433505</v>
      </c>
      <c r="AB38" s="2">
        <v>1.4339336841505801</v>
      </c>
      <c r="AC38" s="2">
        <v>1.2380072224600671</v>
      </c>
      <c r="AD38" s="2">
        <v>0.67845907448897769</v>
      </c>
      <c r="AE38" s="2">
        <v>1.4316536641649886</v>
      </c>
      <c r="AF38" s="2">
        <v>1.7305759736869979</v>
      </c>
      <c r="AG38" s="2">
        <v>1.08</v>
      </c>
      <c r="AH38" s="2">
        <v>42.5</v>
      </c>
      <c r="AI38" s="2">
        <v>6.06</v>
      </c>
      <c r="AJ38" s="2"/>
      <c r="AK38" s="2"/>
      <c r="AL38" s="2"/>
      <c r="AM38" s="2"/>
      <c r="AN38" s="2"/>
    </row>
    <row r="39" spans="1:40" x14ac:dyDescent="0.35">
      <c r="A39" s="11"/>
      <c r="B39">
        <v>14</v>
      </c>
      <c r="C39" s="2">
        <v>4.473645780482852</v>
      </c>
      <c r="D39" s="2">
        <v>1.3248351850855327</v>
      </c>
      <c r="E39" s="2">
        <v>0.51503379613599032</v>
      </c>
      <c r="F39" s="2">
        <v>1.3567582186587219</v>
      </c>
      <c r="G39" s="2">
        <v>5.0919415260504426</v>
      </c>
      <c r="H39" s="2">
        <v>2.071717954689714</v>
      </c>
      <c r="I39" s="2">
        <v>0.37486093074223409</v>
      </c>
      <c r="J39" s="2">
        <v>1.1469758071739911</v>
      </c>
      <c r="K39" s="2">
        <v>2.5790558449560983</v>
      </c>
      <c r="L39" s="2">
        <v>4.6352580897285804</v>
      </c>
      <c r="M39" s="2">
        <v>17.525462541008789</v>
      </c>
      <c r="N39" s="2">
        <v>4.1341069855454586</v>
      </c>
      <c r="O39" s="2">
        <v>0</v>
      </c>
      <c r="P39" s="2">
        <v>0</v>
      </c>
      <c r="Q39" s="2">
        <v>0</v>
      </c>
      <c r="R39" s="2">
        <v>5.2843163044131796</v>
      </c>
      <c r="S39" s="2">
        <v>5.46836368069415</v>
      </c>
      <c r="T39" s="2">
        <v>21.465680002364778</v>
      </c>
      <c r="U39" s="2">
        <v>0.75747955960865354</v>
      </c>
      <c r="V39" s="2">
        <v>3.157258004908043</v>
      </c>
      <c r="W39" s="2">
        <v>1.2176129435332239</v>
      </c>
      <c r="X39" s="2">
        <v>1.6231067845271741</v>
      </c>
      <c r="Y39" s="2">
        <v>3.2823870297029769</v>
      </c>
      <c r="Z39" s="2">
        <v>3.3054301830803041</v>
      </c>
      <c r="AA39" s="2">
        <v>0.81992285617860095</v>
      </c>
      <c r="AB39" s="2">
        <v>0.91625432979963539</v>
      </c>
      <c r="AC39" s="2">
        <v>1.7551646263496659</v>
      </c>
      <c r="AD39" s="2">
        <v>1.4429639287375631</v>
      </c>
      <c r="AE39" s="2">
        <v>1.3218336007878311</v>
      </c>
      <c r="AF39" s="2">
        <v>2.9525735050557902</v>
      </c>
      <c r="AG39" s="2">
        <v>0.53</v>
      </c>
      <c r="AH39" s="2">
        <v>43.2</v>
      </c>
      <c r="AI39" s="2">
        <v>5.61</v>
      </c>
      <c r="AJ39" s="2"/>
      <c r="AK39" s="2"/>
      <c r="AL39" s="2"/>
      <c r="AM39" s="2"/>
      <c r="AN39" s="2"/>
    </row>
    <row r="40" spans="1:40" x14ac:dyDescent="0.35">
      <c r="A40" s="11"/>
      <c r="B40">
        <v>15</v>
      </c>
      <c r="C40" s="2">
        <v>4.5104855558678274</v>
      </c>
      <c r="D40" s="2">
        <v>1.3922122329734032</v>
      </c>
      <c r="E40" s="2">
        <v>0.38902741658081735</v>
      </c>
      <c r="F40" s="2">
        <v>3.3106556845255741</v>
      </c>
      <c r="G40" s="2">
        <v>4.2962398066710064</v>
      </c>
      <c r="H40" s="2">
        <v>2.7089366391546719</v>
      </c>
      <c r="I40" s="2">
        <v>0.316259876925437</v>
      </c>
      <c r="J40" s="2">
        <v>2.9186492078389858</v>
      </c>
      <c r="K40" s="2">
        <v>1.7802602479668146</v>
      </c>
      <c r="L40" s="2">
        <v>4.5855925508391033</v>
      </c>
      <c r="M40" s="2">
        <v>11.640785952002187</v>
      </c>
      <c r="N40" s="2">
        <v>3.654872495742659</v>
      </c>
      <c r="O40" s="2">
        <v>0</v>
      </c>
      <c r="P40" s="2">
        <v>0</v>
      </c>
      <c r="Q40" s="2">
        <v>0</v>
      </c>
      <c r="R40" s="2">
        <v>5.5173808945369514</v>
      </c>
      <c r="S40" s="2">
        <v>3.482813421758908</v>
      </c>
      <c r="T40" s="2">
        <v>23.256338892328941</v>
      </c>
      <c r="U40" s="2">
        <v>0.72822259340497686</v>
      </c>
      <c r="V40" s="2">
        <v>3.5681064329833911</v>
      </c>
      <c r="W40" s="2">
        <v>3.9852377806417891</v>
      </c>
      <c r="X40" s="2">
        <v>1.596494244622179</v>
      </c>
      <c r="Y40" s="2">
        <v>1.6113628873035279</v>
      </c>
      <c r="Z40" s="2">
        <v>5.5660734008070536</v>
      </c>
      <c r="AA40" s="2">
        <v>0.2415028487781917</v>
      </c>
      <c r="AB40" s="2">
        <v>0.67746212600413569</v>
      </c>
      <c r="AC40" s="2">
        <v>1.4605853809287985</v>
      </c>
      <c r="AD40" s="2">
        <v>1.2028400779850423</v>
      </c>
      <c r="AE40" s="2">
        <v>1.9840498086263025</v>
      </c>
      <c r="AF40" s="2">
        <v>3.617551542201328</v>
      </c>
      <c r="AG40" s="2">
        <v>0.7</v>
      </c>
      <c r="AH40" s="2">
        <v>38.5</v>
      </c>
      <c r="AI40" s="2">
        <v>5.26</v>
      </c>
      <c r="AJ40" s="2"/>
      <c r="AK40" s="2"/>
      <c r="AL40" s="2"/>
      <c r="AM40" s="2"/>
      <c r="AN40" s="2"/>
    </row>
    <row r="41" spans="1:40" x14ac:dyDescent="0.35">
      <c r="A41" s="11"/>
      <c r="B41">
        <v>16</v>
      </c>
      <c r="C41" s="2">
        <v>4.769455536740514</v>
      </c>
      <c r="D41" s="2">
        <v>1.272017280457018</v>
      </c>
      <c r="E41" s="2">
        <v>0.63808903842788633</v>
      </c>
      <c r="F41" s="2">
        <v>2.7028564626750669</v>
      </c>
      <c r="G41" s="2">
        <v>6.7910188100202422</v>
      </c>
      <c r="H41" s="2">
        <v>3.4388824443345838</v>
      </c>
      <c r="I41" s="2">
        <v>0.32632859527400038</v>
      </c>
      <c r="J41" s="2">
        <v>1.880419868673034</v>
      </c>
      <c r="K41" s="2">
        <v>2.5871009407366965</v>
      </c>
      <c r="L41" s="2">
        <v>2.3505092676971779</v>
      </c>
      <c r="M41" s="2">
        <v>13.904275258756051</v>
      </c>
      <c r="N41" s="2">
        <v>4.2675618165114013</v>
      </c>
      <c r="O41" s="2">
        <v>0</v>
      </c>
      <c r="P41" s="2">
        <v>0</v>
      </c>
      <c r="Q41" s="2">
        <v>0</v>
      </c>
      <c r="R41" s="2">
        <v>3.1385342177585338</v>
      </c>
      <c r="S41" s="2">
        <v>4.4477665845080407</v>
      </c>
      <c r="T41" s="2">
        <v>21.417101540659303</v>
      </c>
      <c r="U41" s="2">
        <v>3.3133582845329639</v>
      </c>
      <c r="V41" s="2">
        <v>3.9993797734113161</v>
      </c>
      <c r="W41" s="2">
        <v>3.8374165906165421</v>
      </c>
      <c r="X41" s="2">
        <v>3.8910610207729079</v>
      </c>
      <c r="Y41" s="2">
        <v>0.97783574101469684</v>
      </c>
      <c r="Z41" s="2">
        <v>3.3962638822332538</v>
      </c>
      <c r="AA41" s="2">
        <v>0.51660673449779304</v>
      </c>
      <c r="AB41" s="2">
        <v>1.2058632619912499</v>
      </c>
      <c r="AC41" s="2">
        <v>1.4180871409767857</v>
      </c>
      <c r="AD41" s="2">
        <v>0.94105351744536936</v>
      </c>
      <c r="AE41" s="2">
        <v>0.97864869115416431</v>
      </c>
      <c r="AF41" s="2">
        <v>1.592507698123395</v>
      </c>
      <c r="AG41" s="2">
        <v>0.16</v>
      </c>
      <c r="AH41" s="2">
        <v>36.9</v>
      </c>
      <c r="AI41" s="2">
        <v>3.7</v>
      </c>
      <c r="AJ41" s="2"/>
      <c r="AK41" s="2"/>
      <c r="AL41" s="2"/>
      <c r="AM41" s="2"/>
      <c r="AN41" s="2"/>
    </row>
    <row r="42" spans="1:40" x14ac:dyDescent="0.35">
      <c r="A42" s="11"/>
      <c r="B42">
        <v>17</v>
      </c>
      <c r="C42" s="2">
        <v>4.7256549550428781</v>
      </c>
      <c r="D42" s="2">
        <v>1.824288565293479</v>
      </c>
      <c r="E42" s="2">
        <v>1.037923334124397</v>
      </c>
      <c r="F42" s="2">
        <v>3.48264309802751</v>
      </c>
      <c r="G42" s="2">
        <v>5.6214946124379672</v>
      </c>
      <c r="H42" s="2">
        <v>2.2563795618575631</v>
      </c>
      <c r="I42" s="2">
        <v>0.36977791806828231</v>
      </c>
      <c r="J42" s="2">
        <v>3.559826420301043</v>
      </c>
      <c r="K42" s="2">
        <v>1.2105709974434675</v>
      </c>
      <c r="L42" s="2">
        <v>4.3879195017691037</v>
      </c>
      <c r="M42" s="2">
        <v>20.478539942977108</v>
      </c>
      <c r="N42" s="2">
        <v>3.821352948035456</v>
      </c>
      <c r="O42" s="2">
        <v>0</v>
      </c>
      <c r="P42" s="2">
        <v>0</v>
      </c>
      <c r="Q42" s="2">
        <v>0</v>
      </c>
      <c r="R42" s="2">
        <v>3.5000875991367031</v>
      </c>
      <c r="S42" s="2">
        <v>2.680153507525366</v>
      </c>
      <c r="T42" s="2">
        <v>13.589787011877291</v>
      </c>
      <c r="U42" s="2">
        <v>2.735355503826693</v>
      </c>
      <c r="V42" s="2">
        <v>2.9675911886031279</v>
      </c>
      <c r="W42" s="2">
        <v>4.2619714030701017</v>
      </c>
      <c r="X42" s="2">
        <v>4.0098602595827062</v>
      </c>
      <c r="Y42" s="2">
        <v>3.1801473705587222</v>
      </c>
      <c r="Z42" s="2">
        <v>2.5530087202476879</v>
      </c>
      <c r="AA42" s="2">
        <v>1.0823834759605619</v>
      </c>
      <c r="AB42" s="2">
        <v>0.85247571830558233</v>
      </c>
      <c r="AC42" s="2">
        <v>1.169932243744781</v>
      </c>
      <c r="AD42" s="2">
        <v>1.4129635208733513</v>
      </c>
      <c r="AE42" s="2">
        <v>1.1583097686457269</v>
      </c>
      <c r="AF42" s="2">
        <v>2.0696008526633101</v>
      </c>
      <c r="AG42" s="2">
        <v>0.2</v>
      </c>
      <c r="AH42" s="2">
        <v>37.799999999999997</v>
      </c>
      <c r="AI42" s="2">
        <v>3.04</v>
      </c>
      <c r="AJ42" s="2"/>
      <c r="AK42" s="2"/>
      <c r="AL42" s="2"/>
      <c r="AM42" s="2"/>
      <c r="AN42" s="2"/>
    </row>
    <row r="43" spans="1:40" x14ac:dyDescent="0.35">
      <c r="A43" s="11"/>
      <c r="B43">
        <v>18</v>
      </c>
      <c r="C43" s="2">
        <v>4.8253119373280891</v>
      </c>
      <c r="D43" s="2">
        <v>1.0612700749607684</v>
      </c>
      <c r="E43" s="2">
        <v>0.26114990651333503</v>
      </c>
      <c r="F43" s="2">
        <v>2.1112283514299399</v>
      </c>
      <c r="G43" s="2">
        <v>4.0120699856576216</v>
      </c>
      <c r="H43" s="2">
        <v>2.7639465387393352</v>
      </c>
      <c r="I43" s="2">
        <v>0.44738842456255251</v>
      </c>
      <c r="J43" s="2">
        <v>2.5034053557623781</v>
      </c>
      <c r="K43" s="2">
        <v>1.3232302409510215</v>
      </c>
      <c r="L43" s="2">
        <v>2.321840777174065</v>
      </c>
      <c r="M43" s="2">
        <v>16.231966368917181</v>
      </c>
      <c r="N43" s="2">
        <v>2.0002021225674111</v>
      </c>
      <c r="O43" s="2">
        <v>0</v>
      </c>
      <c r="P43" s="2">
        <v>0</v>
      </c>
      <c r="Q43" s="2">
        <v>0</v>
      </c>
      <c r="R43" s="2">
        <v>4.1490337907453894</v>
      </c>
      <c r="S43" s="2">
        <v>4.3323841397492231</v>
      </c>
      <c r="T43" s="2">
        <v>21.591180523204358</v>
      </c>
      <c r="U43" s="2">
        <v>3.6695828338684691</v>
      </c>
      <c r="V43" s="2">
        <v>2.5736760990930958</v>
      </c>
      <c r="W43" s="2">
        <v>4.0171269515079384</v>
      </c>
      <c r="X43" s="2">
        <v>2.9477422948850012</v>
      </c>
      <c r="Y43" s="2">
        <v>1.444419586508821</v>
      </c>
      <c r="Z43" s="2">
        <v>5.6818402591825077</v>
      </c>
      <c r="AA43" s="2">
        <v>0.79904736941611232</v>
      </c>
      <c r="AB43" s="2">
        <v>0.80153915231992767</v>
      </c>
      <c r="AC43" s="2">
        <v>1.2466591744387381</v>
      </c>
      <c r="AD43" s="2">
        <v>1.5841326110966716</v>
      </c>
      <c r="AE43" s="2">
        <v>1.8412270642406137</v>
      </c>
      <c r="AF43" s="2">
        <v>3.4573980651794249</v>
      </c>
      <c r="AG43" s="2">
        <v>0.44</v>
      </c>
      <c r="AH43" s="2">
        <v>39.4</v>
      </c>
      <c r="AI43" s="2">
        <v>1.97</v>
      </c>
      <c r="AJ43" s="2"/>
      <c r="AK43" s="2"/>
      <c r="AL43" s="2"/>
      <c r="AM43" s="2"/>
      <c r="AN43" s="2"/>
    </row>
    <row r="44" spans="1:40" x14ac:dyDescent="0.35">
      <c r="A44" s="11"/>
      <c r="B44">
        <v>19</v>
      </c>
      <c r="C44" s="2">
        <v>4.806270013893692</v>
      </c>
      <c r="D44" s="2">
        <v>1.6965961764210382</v>
      </c>
      <c r="E44" s="2">
        <v>0.608462697461568</v>
      </c>
      <c r="F44" s="2">
        <v>2.6683848512460928</v>
      </c>
      <c r="G44" s="2">
        <v>6.8241084536647616</v>
      </c>
      <c r="H44" s="2">
        <v>4.357221745698129</v>
      </c>
      <c r="I44" s="2">
        <v>0.48353543668159765</v>
      </c>
      <c r="J44" s="2">
        <v>2.218704108599955</v>
      </c>
      <c r="K44" s="2">
        <v>2.5254797193443448</v>
      </c>
      <c r="L44" s="2">
        <v>4.0276466789031486</v>
      </c>
      <c r="M44" s="2">
        <v>20.546923519453589</v>
      </c>
      <c r="N44" s="2">
        <v>1.4665756167379349</v>
      </c>
      <c r="O44" s="2">
        <v>0</v>
      </c>
      <c r="P44" s="2">
        <v>0</v>
      </c>
      <c r="Q44" s="2">
        <v>0</v>
      </c>
      <c r="R44" s="2">
        <v>4.4190736385938703</v>
      </c>
      <c r="S44" s="2">
        <v>4.7919975677327784</v>
      </c>
      <c r="T44" s="2">
        <v>17.531221621364168</v>
      </c>
      <c r="U44" s="2">
        <v>2.8845903656354128</v>
      </c>
      <c r="V44" s="2">
        <v>3.009213824379628</v>
      </c>
      <c r="W44" s="2">
        <v>2.7708944588083582</v>
      </c>
      <c r="X44" s="2">
        <v>3.146225437928746</v>
      </c>
      <c r="Y44" s="2">
        <v>0.1615756804954889</v>
      </c>
      <c r="Z44" s="2">
        <v>2.635118742876883</v>
      </c>
      <c r="AA44" s="2">
        <v>0.42340854162318964</v>
      </c>
      <c r="AB44" s="2">
        <v>1.6720631240998562</v>
      </c>
      <c r="AC44" s="2">
        <v>0.88235867230982656</v>
      </c>
      <c r="AD44" s="2">
        <v>1.0125116941752632</v>
      </c>
      <c r="AE44" s="2">
        <v>1.0560325500587511</v>
      </c>
      <c r="AF44" s="2">
        <v>1.37380506181193</v>
      </c>
      <c r="AG44" s="2">
        <v>0.48</v>
      </c>
      <c r="AH44" s="2">
        <v>42.5</v>
      </c>
      <c r="AI44" s="2">
        <v>2.06</v>
      </c>
      <c r="AJ44" s="2"/>
      <c r="AK44" s="2"/>
      <c r="AL44" s="2"/>
      <c r="AM44" s="2"/>
      <c r="AN44" s="2"/>
    </row>
    <row r="45" spans="1:40" x14ac:dyDescent="0.35">
      <c r="A45" s="11"/>
      <c r="B45">
        <v>20</v>
      </c>
      <c r="C45" s="2">
        <v>4.694365433467981</v>
      </c>
      <c r="D45" s="2">
        <v>1.7693083342866534</v>
      </c>
      <c r="E45" s="2">
        <v>0.94142913720367172</v>
      </c>
      <c r="F45" s="2">
        <v>1.923495530506331</v>
      </c>
      <c r="G45" s="2">
        <v>3.6514004301516989</v>
      </c>
      <c r="H45" s="2">
        <v>3.6174660061812438</v>
      </c>
      <c r="I45" s="2">
        <v>0.39199392847232439</v>
      </c>
      <c r="J45" s="2">
        <v>1.465084238500387</v>
      </c>
      <c r="K45" s="2">
        <v>2.5144131789461608</v>
      </c>
      <c r="L45" s="2">
        <v>2.182205813565818</v>
      </c>
      <c r="M45" s="2">
        <v>28.251310814758639</v>
      </c>
      <c r="N45" s="2">
        <v>2.138240132641446</v>
      </c>
      <c r="O45" s="2">
        <v>0</v>
      </c>
      <c r="P45" s="2">
        <v>0</v>
      </c>
      <c r="Q45" s="2">
        <v>0</v>
      </c>
      <c r="R45" s="2">
        <v>4.6799038774350006</v>
      </c>
      <c r="S45" s="2">
        <v>3.9668100535916428</v>
      </c>
      <c r="T45" s="2">
        <v>12.892857387336136</v>
      </c>
      <c r="U45" s="2">
        <v>2.9190238147653038</v>
      </c>
      <c r="V45" s="2">
        <v>3.4514998289727661</v>
      </c>
      <c r="W45" s="2">
        <v>3.2845581720908799</v>
      </c>
      <c r="X45" s="2">
        <v>1.105988594615398</v>
      </c>
      <c r="Y45" s="2">
        <v>1.2500712602293189</v>
      </c>
      <c r="Z45" s="2">
        <v>2.6689413460436491</v>
      </c>
      <c r="AA45" s="2">
        <v>0.91129222383849628</v>
      </c>
      <c r="AB45" s="2">
        <v>1.2816435556598273</v>
      </c>
      <c r="AC45" s="2">
        <v>1.5554672276102213</v>
      </c>
      <c r="AD45" s="2">
        <v>1.5696735956694405</v>
      </c>
      <c r="AE45" s="2">
        <v>1.7016321216142645</v>
      </c>
      <c r="AF45" s="2">
        <v>3.2199239618452888</v>
      </c>
      <c r="AG45" s="2">
        <v>0.32</v>
      </c>
      <c r="AH45" s="2">
        <v>42.9</v>
      </c>
      <c r="AI45" s="2">
        <v>1.39</v>
      </c>
      <c r="AJ45" s="2"/>
      <c r="AK45" s="2"/>
      <c r="AL45" s="2"/>
      <c r="AM45" s="2"/>
      <c r="AN45" s="2"/>
    </row>
    <row r="46" spans="1:40" x14ac:dyDescent="0.35">
      <c r="A46" s="10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x14ac:dyDescent="0.35">
      <c r="A47" s="11" t="s">
        <v>37</v>
      </c>
      <c r="B47">
        <v>0</v>
      </c>
      <c r="C47" s="2">
        <v>0.48</v>
      </c>
      <c r="D47" s="2">
        <v>0.431489636406795</v>
      </c>
      <c r="E47" s="2">
        <v>0.48571021331404635</v>
      </c>
      <c r="F47" s="2">
        <v>3.9706793906102811</v>
      </c>
      <c r="G47" s="2">
        <v>4.0526807045533877</v>
      </c>
      <c r="H47" s="2">
        <v>5.7815944197552449</v>
      </c>
      <c r="I47" s="2">
        <v>0.63924935716353359</v>
      </c>
      <c r="J47" s="2">
        <v>1.6261530469555749</v>
      </c>
      <c r="K47" s="2">
        <v>1.5839700126027074</v>
      </c>
      <c r="L47" s="2">
        <v>4.687555698392007</v>
      </c>
      <c r="M47" s="2">
        <v>17.869020792573995</v>
      </c>
      <c r="N47" s="2">
        <v>4.2531591980503807</v>
      </c>
      <c r="O47" s="2">
        <v>0</v>
      </c>
      <c r="P47" s="2">
        <v>0</v>
      </c>
      <c r="Q47" s="2">
        <v>0</v>
      </c>
      <c r="R47" s="2">
        <v>3.811253549074328</v>
      </c>
      <c r="S47" s="2">
        <v>5.4569800418336234</v>
      </c>
      <c r="T47" s="2">
        <v>16.891241416096634</v>
      </c>
      <c r="U47" s="2">
        <v>3.6818804827523288</v>
      </c>
      <c r="V47" s="2">
        <v>3.2185622035562682</v>
      </c>
      <c r="W47" s="2">
        <v>2.8709068691972339</v>
      </c>
      <c r="X47" s="2">
        <v>4.2297849348768084</v>
      </c>
      <c r="Y47" s="2">
        <v>5.2684111090280634</v>
      </c>
      <c r="Z47" s="2">
        <v>2.149052627198651</v>
      </c>
      <c r="AA47" s="2">
        <v>0.68493662566731739</v>
      </c>
      <c r="AB47" s="2">
        <v>1.5600249767420939</v>
      </c>
      <c r="AC47" s="2">
        <v>0.23074669436755754</v>
      </c>
      <c r="AD47" s="2">
        <v>0.95281810010466339</v>
      </c>
      <c r="AE47" s="2">
        <v>0.58474431739910171</v>
      </c>
      <c r="AF47" s="2">
        <v>2.5473935817273712</v>
      </c>
      <c r="AG47" s="2">
        <v>7.98</v>
      </c>
      <c r="AH47" s="2">
        <v>30.1</v>
      </c>
      <c r="AI47" s="2">
        <v>14.74</v>
      </c>
      <c r="AJ47" s="2"/>
      <c r="AK47" s="2"/>
      <c r="AL47" s="2"/>
      <c r="AM47" s="2"/>
      <c r="AN47" s="2"/>
    </row>
    <row r="48" spans="1:40" x14ac:dyDescent="0.35">
      <c r="A48" s="11"/>
      <c r="B48">
        <v>1</v>
      </c>
      <c r="C48" s="2">
        <v>0.91</v>
      </c>
      <c r="D48" s="2">
        <v>6.3294445927792473E-2</v>
      </c>
      <c r="E48" s="2">
        <v>1.1085172204816909</v>
      </c>
      <c r="F48" s="2">
        <v>2.3772151978607172</v>
      </c>
      <c r="G48" s="2">
        <v>3.5800633970230278</v>
      </c>
      <c r="H48" s="2">
        <v>7.3513731211646238</v>
      </c>
      <c r="I48" s="2">
        <v>0.83303364163136617</v>
      </c>
      <c r="J48" s="2">
        <v>1.4348408323106661</v>
      </c>
      <c r="K48" s="2">
        <v>0.23638598639565664</v>
      </c>
      <c r="L48" s="2">
        <v>3.0691240394958239</v>
      </c>
      <c r="M48" s="2">
        <v>11.017184921139686</v>
      </c>
      <c r="N48" s="2">
        <v>3.2400767117381961</v>
      </c>
      <c r="O48" s="2">
        <v>0</v>
      </c>
      <c r="P48" s="2">
        <v>0</v>
      </c>
      <c r="Q48" s="2">
        <v>0</v>
      </c>
      <c r="R48" s="2">
        <v>3.1603859365351048</v>
      </c>
      <c r="S48" s="2">
        <v>3.901508042499692</v>
      </c>
      <c r="T48" s="2">
        <v>31.489295456235084</v>
      </c>
      <c r="U48" s="2">
        <v>3.834779156070097</v>
      </c>
      <c r="V48" s="2">
        <v>3.4425515123860921</v>
      </c>
      <c r="W48" s="2">
        <v>1.7113220750580751</v>
      </c>
      <c r="X48" s="2">
        <v>2.468183231517584</v>
      </c>
      <c r="Y48" s="2">
        <v>2.1974976572134741</v>
      </c>
      <c r="Z48" s="2">
        <v>3.7797575482048011</v>
      </c>
      <c r="AA48" s="2">
        <v>1.7191377762234834</v>
      </c>
      <c r="AB48" s="2">
        <v>1.6800927943564608</v>
      </c>
      <c r="AC48" s="2">
        <v>0.26403998289352792</v>
      </c>
      <c r="AD48" s="2">
        <v>0.28664109115869624</v>
      </c>
      <c r="AE48" s="2">
        <v>1.4126760102917384</v>
      </c>
      <c r="AF48" s="2">
        <v>3.4310222141868238</v>
      </c>
      <c r="AG48" s="2">
        <v>6.71</v>
      </c>
      <c r="AH48" s="2">
        <v>34.1</v>
      </c>
      <c r="AI48" s="2">
        <v>14.49</v>
      </c>
      <c r="AJ48" s="2"/>
      <c r="AK48" s="2"/>
      <c r="AL48" s="2"/>
      <c r="AM48" s="2"/>
      <c r="AN48" s="2"/>
    </row>
    <row r="49" spans="1:40" x14ac:dyDescent="0.35">
      <c r="A49" s="11"/>
      <c r="B49">
        <v>2</v>
      </c>
      <c r="C49" s="2">
        <v>1.31</v>
      </c>
      <c r="D49" s="2">
        <v>0.98469049415909959</v>
      </c>
      <c r="E49" s="2">
        <v>0.92486742055521798</v>
      </c>
      <c r="F49" s="2">
        <v>1.330787830262423</v>
      </c>
      <c r="G49" s="2">
        <v>3.0575160290152539</v>
      </c>
      <c r="H49" s="2">
        <v>6.4183510305898821</v>
      </c>
      <c r="I49" s="2">
        <v>0.77292451101190274</v>
      </c>
      <c r="J49" s="2">
        <v>0.71733656094374143</v>
      </c>
      <c r="K49" s="2">
        <v>0.46391064069089499</v>
      </c>
      <c r="L49" s="2">
        <v>5.0823471838582179</v>
      </c>
      <c r="M49" s="2">
        <v>12.250172315633161</v>
      </c>
      <c r="N49" s="2">
        <v>1.7567373382035749</v>
      </c>
      <c r="O49" s="2">
        <v>0</v>
      </c>
      <c r="P49" s="2">
        <v>0</v>
      </c>
      <c r="Q49" s="2">
        <v>0</v>
      </c>
      <c r="R49" s="2">
        <v>2.0359349333041692</v>
      </c>
      <c r="S49" s="2">
        <v>5.0150666936582287</v>
      </c>
      <c r="T49" s="2">
        <v>28.046320599107119</v>
      </c>
      <c r="U49" s="2">
        <v>2.8351152345573931</v>
      </c>
      <c r="V49" s="2">
        <v>4.6605117874210249</v>
      </c>
      <c r="W49" s="2">
        <v>2.2994000808331001</v>
      </c>
      <c r="X49" s="2">
        <v>1.7164012342406569</v>
      </c>
      <c r="Y49" s="2">
        <v>3.406884414493665</v>
      </c>
      <c r="Z49" s="2">
        <v>3.5113048318114459</v>
      </c>
      <c r="AA49" s="2">
        <v>1.2484544097106154</v>
      </c>
      <c r="AB49" s="2">
        <v>1.5493786359978463</v>
      </c>
      <c r="AC49" s="2">
        <v>0.78738495322012703</v>
      </c>
      <c r="AD49" s="2">
        <v>1.621918236211237</v>
      </c>
      <c r="AE49" s="2">
        <v>1.5818499647972624</v>
      </c>
      <c r="AF49" s="2">
        <v>4.6144326357127277</v>
      </c>
      <c r="AG49" s="2">
        <v>5.44</v>
      </c>
      <c r="AH49" s="2">
        <v>33.299999999999997</v>
      </c>
      <c r="AI49" s="2">
        <v>13.97</v>
      </c>
      <c r="AJ49" s="2"/>
      <c r="AK49" s="2"/>
      <c r="AL49" s="2"/>
      <c r="AM49" s="2"/>
      <c r="AN49" s="2"/>
    </row>
    <row r="50" spans="1:40" x14ac:dyDescent="0.35">
      <c r="A50" s="11"/>
      <c r="B50">
        <v>3</v>
      </c>
      <c r="C50" s="2">
        <v>1.91</v>
      </c>
      <c r="D50" s="2">
        <v>0.17595702555696982</v>
      </c>
      <c r="E50" s="2">
        <v>0.46606483095140966</v>
      </c>
      <c r="F50" s="2">
        <v>3.107466622909846</v>
      </c>
      <c r="G50" s="2">
        <v>2.6120407271417951</v>
      </c>
      <c r="H50" s="2">
        <v>5.4989222448946009</v>
      </c>
      <c r="I50" s="2">
        <v>0.8834897821831611</v>
      </c>
      <c r="J50" s="2">
        <v>2.5755920763873061</v>
      </c>
      <c r="K50" s="2">
        <v>1.1056731120854351</v>
      </c>
      <c r="L50" s="2">
        <v>4.5413605272317774</v>
      </c>
      <c r="M50" s="2">
        <v>15.733353103620548</v>
      </c>
      <c r="N50" s="2">
        <v>2.772099051588778</v>
      </c>
      <c r="O50" s="2">
        <v>0</v>
      </c>
      <c r="P50" s="2">
        <v>0</v>
      </c>
      <c r="Q50" s="2">
        <v>0</v>
      </c>
      <c r="R50" s="2">
        <v>2.8895065546321339</v>
      </c>
      <c r="S50" s="2">
        <v>3.3367391501184569</v>
      </c>
      <c r="T50" s="2">
        <v>22.452587470494777</v>
      </c>
      <c r="U50" s="2">
        <v>3.7055200312676559</v>
      </c>
      <c r="V50" s="2">
        <v>1.589825226138105</v>
      </c>
      <c r="W50" s="2">
        <v>3.90408862779775</v>
      </c>
      <c r="X50" s="2">
        <v>4.166066477749033</v>
      </c>
      <c r="Y50" s="2">
        <v>2.9739738281339032</v>
      </c>
      <c r="Z50" s="2">
        <v>4.6986790448494524</v>
      </c>
      <c r="AA50" s="2">
        <v>1.3422753818175106</v>
      </c>
      <c r="AB50" s="2">
        <v>1.2948636344072679</v>
      </c>
      <c r="AC50" s="2">
        <v>0.47927914611738665</v>
      </c>
      <c r="AD50" s="2">
        <v>0.47262209150290363</v>
      </c>
      <c r="AE50" s="2">
        <v>1.0452715076739836</v>
      </c>
      <c r="AF50" s="2">
        <v>4.2666827227480626</v>
      </c>
      <c r="AG50" s="2">
        <v>4.71</v>
      </c>
      <c r="AH50" s="2">
        <v>31.8</v>
      </c>
      <c r="AI50" s="2">
        <v>12.97</v>
      </c>
      <c r="AJ50" s="2"/>
      <c r="AK50" s="2"/>
      <c r="AL50" s="2"/>
      <c r="AM50" s="2"/>
      <c r="AN50" s="2"/>
    </row>
    <row r="51" spans="1:40" x14ac:dyDescent="0.35">
      <c r="A51" s="11"/>
      <c r="B51">
        <v>4</v>
      </c>
      <c r="C51" s="2">
        <v>1.506442217962098</v>
      </c>
      <c r="D51" s="2">
        <v>0.88210601612639772</v>
      </c>
      <c r="E51" s="2">
        <v>0.59888899328811906</v>
      </c>
      <c r="F51" s="2">
        <v>4.3779151012720678</v>
      </c>
      <c r="G51" s="2">
        <v>3.2110781462319582</v>
      </c>
      <c r="H51" s="2">
        <v>7.9815822655575976</v>
      </c>
      <c r="I51" s="2">
        <v>0.88092596234875786</v>
      </c>
      <c r="J51" s="2">
        <v>0.71186307517544423</v>
      </c>
      <c r="K51" s="2">
        <v>1.4714100416456555</v>
      </c>
      <c r="L51" s="2">
        <v>5.4482363376851559</v>
      </c>
      <c r="M51" s="2">
        <v>10.498313206361358</v>
      </c>
      <c r="N51" s="2">
        <v>2.4686987381781078</v>
      </c>
      <c r="O51" s="2">
        <v>0</v>
      </c>
      <c r="P51" s="2">
        <v>0</v>
      </c>
      <c r="Q51" s="2">
        <v>0</v>
      </c>
      <c r="R51" s="2">
        <v>4.7789729968738808</v>
      </c>
      <c r="S51" s="2">
        <v>3.9176189738407521</v>
      </c>
      <c r="T51" s="2">
        <v>26.078333661138842</v>
      </c>
      <c r="U51" s="2">
        <v>2.0477133349658652</v>
      </c>
      <c r="V51" s="2">
        <v>2.0449435027418268</v>
      </c>
      <c r="W51" s="2">
        <v>2.1112172814475971</v>
      </c>
      <c r="X51" s="2">
        <v>3.8675741179854932</v>
      </c>
      <c r="Y51" s="2">
        <v>3.0802095781022181</v>
      </c>
      <c r="Z51" s="2">
        <v>5.8109163384879672</v>
      </c>
      <c r="AA51" s="2">
        <v>1.8475115981039252</v>
      </c>
      <c r="AB51" s="2">
        <v>0.65105387947225635</v>
      </c>
      <c r="AC51" s="2">
        <v>0.38901542120583699</v>
      </c>
      <c r="AD51" s="2">
        <v>0.44138211258231069</v>
      </c>
      <c r="AE51" s="2">
        <v>0.37968269608328997</v>
      </c>
      <c r="AF51" s="2">
        <v>2.5163944051352121</v>
      </c>
      <c r="AG51" s="2">
        <v>4.0199999999999996</v>
      </c>
      <c r="AH51" s="2">
        <v>31</v>
      </c>
      <c r="AI51" s="2">
        <v>12.45</v>
      </c>
      <c r="AJ51" s="2"/>
      <c r="AK51" s="2"/>
      <c r="AL51" s="2"/>
      <c r="AM51" s="2"/>
      <c r="AN51" s="2"/>
    </row>
    <row r="52" spans="1:40" x14ac:dyDescent="0.35">
      <c r="A52" s="11"/>
      <c r="B52">
        <v>5</v>
      </c>
      <c r="C52" s="2">
        <v>1.75</v>
      </c>
      <c r="D52" s="2">
        <v>0.96093813678535067</v>
      </c>
      <c r="E52" s="2">
        <v>0.25765638688394943</v>
      </c>
      <c r="F52" s="2">
        <v>2.3508488259715969</v>
      </c>
      <c r="G52" s="2">
        <v>4.7887625458135226</v>
      </c>
      <c r="H52" s="2">
        <v>7.5093844020650753</v>
      </c>
      <c r="I52" s="2">
        <v>0.8524555423943907</v>
      </c>
      <c r="J52" s="2">
        <v>1.9802928601237459</v>
      </c>
      <c r="K52" s="2">
        <v>1.68958409388968</v>
      </c>
      <c r="L52" s="2">
        <v>3.8273037107766492</v>
      </c>
      <c r="M52" s="2">
        <v>10.72013767624545</v>
      </c>
      <c r="N52" s="2">
        <v>1.796073181076639</v>
      </c>
      <c r="O52" s="2">
        <v>0</v>
      </c>
      <c r="P52" s="2">
        <v>0</v>
      </c>
      <c r="Q52" s="2">
        <v>0</v>
      </c>
      <c r="R52" s="2">
        <v>2.1988635583015119</v>
      </c>
      <c r="S52" s="2">
        <v>3.940157814467363</v>
      </c>
      <c r="T52" s="2">
        <v>26.272128189513353</v>
      </c>
      <c r="U52" s="2">
        <v>1.546037486070478</v>
      </c>
      <c r="V52" s="2">
        <v>3.8351317319271718</v>
      </c>
      <c r="W52" s="2">
        <v>2.7026450880881132</v>
      </c>
      <c r="X52" s="2">
        <v>4.0350186041987577</v>
      </c>
      <c r="Y52" s="2">
        <v>3.291319412493074</v>
      </c>
      <c r="Z52" s="2">
        <v>4.4133341123410963</v>
      </c>
      <c r="AA52" s="2">
        <v>1.3309007340040215</v>
      </c>
      <c r="AB52" s="2">
        <v>1.543769907562947</v>
      </c>
      <c r="AC52" s="2">
        <v>0.28233759665577396</v>
      </c>
      <c r="AD52" s="2">
        <v>0.87716360121500891</v>
      </c>
      <c r="AE52" s="2">
        <v>0.75877660245284329</v>
      </c>
      <c r="AF52" s="2">
        <v>4.4889781986824442</v>
      </c>
      <c r="AG52" s="2">
        <v>3.69</v>
      </c>
      <c r="AH52" s="2">
        <v>32.700000000000003</v>
      </c>
      <c r="AI52" s="2">
        <v>11.55</v>
      </c>
      <c r="AJ52" s="2"/>
      <c r="AK52" s="2"/>
      <c r="AL52" s="2"/>
      <c r="AM52" s="2"/>
      <c r="AN52" s="2"/>
    </row>
    <row r="53" spans="1:40" x14ac:dyDescent="0.35">
      <c r="A53" s="11"/>
      <c r="B53">
        <v>6</v>
      </c>
      <c r="C53" s="2">
        <v>1.67</v>
      </c>
      <c r="D53" s="2">
        <v>1.1525874764168516</v>
      </c>
      <c r="E53" s="2">
        <v>1.0135359993679214</v>
      </c>
      <c r="F53" s="2">
        <v>0.9838500220674723</v>
      </c>
      <c r="G53" s="2">
        <v>3.4453379686534431</v>
      </c>
      <c r="H53" s="2">
        <v>8.0119254160179096</v>
      </c>
      <c r="I53" s="2">
        <v>0.86888179364668239</v>
      </c>
      <c r="J53" s="2">
        <v>3.255896554270044</v>
      </c>
      <c r="K53" s="2">
        <v>1.422703670826954</v>
      </c>
      <c r="L53" s="2">
        <v>3.0179388340438198</v>
      </c>
      <c r="M53" s="2">
        <v>11.451213855512481</v>
      </c>
      <c r="N53" s="2">
        <v>3.603723785346117</v>
      </c>
      <c r="O53" s="2">
        <v>0</v>
      </c>
      <c r="P53" s="2">
        <v>0</v>
      </c>
      <c r="Q53" s="2">
        <v>0</v>
      </c>
      <c r="R53" s="2">
        <v>1.880924846404606</v>
      </c>
      <c r="S53" s="2">
        <v>4.6050886360020096</v>
      </c>
      <c r="T53" s="2">
        <v>23.529715670323711</v>
      </c>
      <c r="U53" s="2">
        <v>1.7057097194198221</v>
      </c>
      <c r="V53" s="2">
        <v>3.4976008563138019</v>
      </c>
      <c r="W53" s="2">
        <v>3.3181981470526458</v>
      </c>
      <c r="X53" s="2">
        <v>4.568692465879808</v>
      </c>
      <c r="Y53" s="2">
        <v>4.4139338981031786</v>
      </c>
      <c r="Z53" s="2">
        <v>3.450719621123675</v>
      </c>
      <c r="AA53" s="2">
        <v>0.63982810672164003</v>
      </c>
      <c r="AB53" s="2">
        <v>1.5191532577796039</v>
      </c>
      <c r="AC53" s="2">
        <v>0.18864649045960849</v>
      </c>
      <c r="AD53" s="2">
        <v>0.66752936930191475</v>
      </c>
      <c r="AE53" s="2">
        <v>1.3484746699465218</v>
      </c>
      <c r="AF53" s="2">
        <v>4.7681888689977381</v>
      </c>
      <c r="AG53" s="2">
        <v>3.01</v>
      </c>
      <c r="AH53" s="2">
        <v>37.5</v>
      </c>
      <c r="AI53" s="2">
        <v>10.43</v>
      </c>
      <c r="AJ53" s="2"/>
      <c r="AK53" s="2"/>
      <c r="AL53" s="2"/>
      <c r="AM53" s="2"/>
      <c r="AN53" s="2"/>
    </row>
    <row r="54" spans="1:40" x14ac:dyDescent="0.35">
      <c r="A54" s="11"/>
      <c r="B54">
        <v>7</v>
      </c>
      <c r="C54" s="2">
        <v>2.83</v>
      </c>
      <c r="D54" s="2">
        <v>0.88120485032113294</v>
      </c>
      <c r="E54" s="2">
        <v>6.3743375996880236E-2</v>
      </c>
      <c r="F54" s="2">
        <v>2.717499531562797</v>
      </c>
      <c r="G54" s="2">
        <v>3.9746354616596662</v>
      </c>
      <c r="H54" s="2">
        <v>7.3993779839840217</v>
      </c>
      <c r="I54" s="2">
        <v>0.70625410338811678</v>
      </c>
      <c r="J54" s="2">
        <v>1.003399356805329</v>
      </c>
      <c r="K54" s="2">
        <v>0.71696454620915051</v>
      </c>
      <c r="L54" s="2">
        <v>3.7720875418632609</v>
      </c>
      <c r="M54" s="2">
        <v>9.3725400581261358</v>
      </c>
      <c r="N54" s="2">
        <v>3.9990510640626882</v>
      </c>
      <c r="O54" s="2">
        <v>0</v>
      </c>
      <c r="P54" s="2">
        <v>0</v>
      </c>
      <c r="Q54" s="2">
        <v>0</v>
      </c>
      <c r="R54" s="2">
        <v>1.0985326460588241</v>
      </c>
      <c r="S54" s="2">
        <v>2.771281774643287</v>
      </c>
      <c r="T54" s="2">
        <v>26.325357655068672</v>
      </c>
      <c r="U54" s="2">
        <v>2.8929865553737328</v>
      </c>
      <c r="V54" s="2">
        <v>3.497862910545622</v>
      </c>
      <c r="W54" s="2">
        <v>3.4633480132497891</v>
      </c>
      <c r="X54" s="2">
        <v>4.4364229997096274</v>
      </c>
      <c r="Y54" s="2">
        <v>4.3343072807202194</v>
      </c>
      <c r="Z54" s="2">
        <v>5.8756764861249566</v>
      </c>
      <c r="AA54" s="2">
        <v>1.6584451644959506</v>
      </c>
      <c r="AB54" s="2">
        <v>1.3408926056218242</v>
      </c>
      <c r="AC54" s="2">
        <v>0.86064321279917566</v>
      </c>
      <c r="AD54" s="2">
        <v>0.33688986066401233</v>
      </c>
      <c r="AE54" s="2">
        <v>1.5611093606216973</v>
      </c>
      <c r="AF54" s="2">
        <v>2.109485600323437</v>
      </c>
      <c r="AG54" s="2">
        <v>2.14</v>
      </c>
      <c r="AH54" s="2">
        <v>32.6</v>
      </c>
      <c r="AI54" s="2">
        <v>10.41</v>
      </c>
      <c r="AJ54" s="2"/>
      <c r="AK54" s="2"/>
      <c r="AL54" s="2"/>
      <c r="AM54" s="2"/>
      <c r="AN54" s="2"/>
    </row>
    <row r="55" spans="1:40" x14ac:dyDescent="0.35">
      <c r="A55" s="11"/>
      <c r="B55">
        <v>8</v>
      </c>
      <c r="C55" s="2">
        <v>4.0408814202374082</v>
      </c>
      <c r="D55" s="2">
        <v>0.99756855938674471</v>
      </c>
      <c r="E55" s="2">
        <v>0.45126101314635397</v>
      </c>
      <c r="F55" s="2">
        <v>1.4869279990974651</v>
      </c>
      <c r="G55" s="2">
        <v>2.2511125497376452</v>
      </c>
      <c r="H55" s="2">
        <v>8.6504235737276485</v>
      </c>
      <c r="I55" s="2">
        <v>0.82583894431666494</v>
      </c>
      <c r="J55" s="2">
        <v>2.6774316872514698</v>
      </c>
      <c r="K55" s="2">
        <v>1.6720520933309384</v>
      </c>
      <c r="L55" s="2">
        <v>2.6278222843328631</v>
      </c>
      <c r="M55" s="2">
        <v>24.769324657151145</v>
      </c>
      <c r="N55" s="2">
        <v>2.7458653021901012</v>
      </c>
      <c r="O55" s="2">
        <v>0</v>
      </c>
      <c r="P55" s="2">
        <v>0</v>
      </c>
      <c r="Q55" s="2">
        <v>0</v>
      </c>
      <c r="R55" s="2">
        <v>1.6298673058215991</v>
      </c>
      <c r="S55" s="2">
        <v>4.099465979040569</v>
      </c>
      <c r="T55" s="2">
        <v>15.410476909134815</v>
      </c>
      <c r="U55" s="2">
        <v>2.8531453467858992</v>
      </c>
      <c r="V55" s="2">
        <v>3.555729152559163</v>
      </c>
      <c r="W55" s="2">
        <v>3.0194769849436538</v>
      </c>
      <c r="X55" s="2">
        <v>2.7068045578434292</v>
      </c>
      <c r="Y55" s="2">
        <v>2.980019466506695</v>
      </c>
      <c r="Z55" s="2">
        <v>3.5838598395263088</v>
      </c>
      <c r="AA55" s="2">
        <v>1.2302245886552843</v>
      </c>
      <c r="AB55" s="2">
        <v>1.6417259824914503</v>
      </c>
      <c r="AC55" s="2">
        <v>1.2265353964272958</v>
      </c>
      <c r="AD55" s="2">
        <v>0.35108662290295101</v>
      </c>
      <c r="AE55" s="2">
        <v>0.53283605555569735</v>
      </c>
      <c r="AF55" s="2">
        <v>1.9822357278987459</v>
      </c>
      <c r="AG55" s="2">
        <v>2.17</v>
      </c>
      <c r="AH55" s="2">
        <v>34.200000000000003</v>
      </c>
      <c r="AI55" s="2">
        <v>9.8000000000000007</v>
      </c>
      <c r="AJ55" s="2"/>
      <c r="AK55" s="2"/>
      <c r="AL55" s="2"/>
      <c r="AM55" s="2"/>
      <c r="AN55" s="2"/>
    </row>
    <row r="56" spans="1:40" x14ac:dyDescent="0.35">
      <c r="A56" s="11"/>
      <c r="B56">
        <v>9</v>
      </c>
      <c r="C56" s="2">
        <v>4.12</v>
      </c>
      <c r="D56" s="2">
        <v>0.43391138975594729</v>
      </c>
      <c r="E56" s="2">
        <v>0.60289643148267236</v>
      </c>
      <c r="F56" s="2">
        <v>3.0070348146409689</v>
      </c>
      <c r="G56" s="2">
        <v>4.4937874853030548</v>
      </c>
      <c r="H56" s="2">
        <v>9.2025186664698087</v>
      </c>
      <c r="I56" s="2">
        <v>1.0214334445207691</v>
      </c>
      <c r="J56" s="2">
        <v>2.4756723351427068</v>
      </c>
      <c r="K56" s="2">
        <v>1.5336155768284025</v>
      </c>
      <c r="L56" s="2">
        <v>4.8648963386203423</v>
      </c>
      <c r="M56" s="2">
        <v>14.77303253471986</v>
      </c>
      <c r="N56" s="2">
        <v>4.375419797805618</v>
      </c>
      <c r="O56" s="2">
        <v>0</v>
      </c>
      <c r="P56" s="2">
        <v>0</v>
      </c>
      <c r="Q56" s="2">
        <v>0</v>
      </c>
      <c r="R56" s="2">
        <v>2.5580394060523259</v>
      </c>
      <c r="S56" s="2">
        <v>4.0357011842837327</v>
      </c>
      <c r="T56" s="2">
        <v>17.153188569024778</v>
      </c>
      <c r="U56" s="2">
        <v>2.9148472792144111</v>
      </c>
      <c r="V56" s="2">
        <v>3.4453794382018619</v>
      </c>
      <c r="W56" s="2">
        <v>1.253607138799111</v>
      </c>
      <c r="X56" s="2">
        <v>2.7011070964774491</v>
      </c>
      <c r="Y56" s="2">
        <v>3.4686257156891549</v>
      </c>
      <c r="Z56" s="2">
        <v>3.8057631065060922</v>
      </c>
      <c r="AA56" s="2">
        <v>1.4760462335903399</v>
      </c>
      <c r="AB56" s="2">
        <v>1.7317520772059767</v>
      </c>
      <c r="AC56" s="2">
        <v>1.0652257401268397</v>
      </c>
      <c r="AD56" s="2">
        <v>0.38300840285396931</v>
      </c>
      <c r="AE56" s="2">
        <v>1.2632805709636481</v>
      </c>
      <c r="AF56" s="2">
        <v>1.8402092257201601</v>
      </c>
      <c r="AG56" s="2">
        <v>1.71</v>
      </c>
      <c r="AH56" s="2">
        <v>35.6</v>
      </c>
      <c r="AI56" s="2">
        <v>8.92</v>
      </c>
      <c r="AJ56" s="2"/>
      <c r="AK56" s="2"/>
      <c r="AL56" s="2"/>
      <c r="AM56" s="2"/>
      <c r="AN56" s="2"/>
    </row>
    <row r="57" spans="1:40" x14ac:dyDescent="0.35">
      <c r="A57" s="11"/>
      <c r="B57">
        <v>10</v>
      </c>
      <c r="C57" s="2">
        <v>4.3600000000000003</v>
      </c>
      <c r="D57" s="2">
        <v>0.2140284502670898</v>
      </c>
      <c r="E57" s="2">
        <v>0.24854080950873714</v>
      </c>
      <c r="F57" s="2">
        <v>2.7420329896849509</v>
      </c>
      <c r="G57" s="2">
        <v>4.441785008960081</v>
      </c>
      <c r="H57" s="2">
        <v>8.0829648895370454</v>
      </c>
      <c r="I57" s="2">
        <v>1.0542080389947079</v>
      </c>
      <c r="J57" s="2">
        <v>1.024616894087786</v>
      </c>
      <c r="K57" s="2">
        <v>1.4275013287474201</v>
      </c>
      <c r="L57" s="2">
        <v>5.3767557134324431</v>
      </c>
      <c r="M57" s="2">
        <v>8.9334482990899868</v>
      </c>
      <c r="N57" s="2">
        <v>3.01366570452933</v>
      </c>
      <c r="O57" s="2">
        <v>0</v>
      </c>
      <c r="P57" s="2">
        <v>0</v>
      </c>
      <c r="Q57" s="2">
        <v>0</v>
      </c>
      <c r="R57" s="2">
        <v>2.4859060712549681</v>
      </c>
      <c r="S57" s="2">
        <v>3.3301192751601869</v>
      </c>
      <c r="T57" s="2">
        <v>28.48511951569165</v>
      </c>
      <c r="U57" s="2">
        <v>0.91823815780800178</v>
      </c>
      <c r="V57" s="2">
        <v>1.266431103131296</v>
      </c>
      <c r="W57" s="2">
        <v>3.6968820052963829</v>
      </c>
      <c r="X57" s="2">
        <v>4.0832170805160413</v>
      </c>
      <c r="Y57" s="2">
        <v>2.742075571385131</v>
      </c>
      <c r="Z57" s="2">
        <v>3.692049714038788</v>
      </c>
      <c r="AA57" s="2">
        <v>1.6795074446951963</v>
      </c>
      <c r="AB57" s="2">
        <v>1.6214736912941745</v>
      </c>
      <c r="AC57" s="2">
        <v>0.87519410021838506</v>
      </c>
      <c r="AD57" s="2">
        <v>0.57228128874180173</v>
      </c>
      <c r="AE57" s="2">
        <v>0.39230768566111768</v>
      </c>
      <c r="AF57" s="2">
        <v>3.239649168267313</v>
      </c>
      <c r="AG57" s="2">
        <v>1.38</v>
      </c>
      <c r="AH57" s="2">
        <v>32.9</v>
      </c>
      <c r="AI57" s="2">
        <v>7.71</v>
      </c>
      <c r="AJ57" s="2"/>
      <c r="AK57" s="2"/>
      <c r="AL57" s="2"/>
      <c r="AM57" s="2"/>
      <c r="AN57" s="2"/>
    </row>
    <row r="58" spans="1:40" x14ac:dyDescent="0.35">
      <c r="A58" s="11"/>
      <c r="B58">
        <v>11</v>
      </c>
      <c r="C58" s="2">
        <v>3.8484306153103049</v>
      </c>
      <c r="D58" s="2">
        <v>0.99406484473731194</v>
      </c>
      <c r="E58" s="2">
        <v>1.003611484746302</v>
      </c>
      <c r="F58" s="2">
        <v>0.94957206263950189</v>
      </c>
      <c r="G58" s="2">
        <v>2.862494487730491</v>
      </c>
      <c r="H58" s="2">
        <v>7.5269861463070118</v>
      </c>
      <c r="I58" s="2">
        <v>0.76956044936796819</v>
      </c>
      <c r="J58" s="2">
        <v>2.9615135111760731</v>
      </c>
      <c r="K58" s="2">
        <v>1.3937044037699704</v>
      </c>
      <c r="L58" s="2">
        <v>4.0334418643171981</v>
      </c>
      <c r="M58" s="2">
        <v>13.730700704678696</v>
      </c>
      <c r="N58" s="2">
        <v>1.8650054432438969</v>
      </c>
      <c r="O58" s="2">
        <v>0</v>
      </c>
      <c r="P58" s="2">
        <v>0</v>
      </c>
      <c r="Q58" s="2">
        <v>0</v>
      </c>
      <c r="R58" s="2">
        <v>3.4086008752868682</v>
      </c>
      <c r="S58" s="2">
        <v>2.257811928655912</v>
      </c>
      <c r="T58" s="2">
        <v>23.242113058617861</v>
      </c>
      <c r="U58" s="2">
        <v>2.0465578948522549</v>
      </c>
      <c r="V58" s="2">
        <v>3.2048483049888778</v>
      </c>
      <c r="W58" s="2">
        <v>3.7735229506068229</v>
      </c>
      <c r="X58" s="2">
        <v>3.9865473732623928</v>
      </c>
      <c r="Y58" s="2">
        <v>4.6822698954657556</v>
      </c>
      <c r="Z58" s="2">
        <v>2.432462498765342</v>
      </c>
      <c r="AA58" s="2">
        <v>0.92570498877167129</v>
      </c>
      <c r="AB58" s="2">
        <v>1.2353608815868953</v>
      </c>
      <c r="AC58" s="2">
        <v>0.62138441190738303</v>
      </c>
      <c r="AD58" s="2">
        <v>0.57344050882112707</v>
      </c>
      <c r="AE58" s="2">
        <v>0.69489968630690935</v>
      </c>
      <c r="AF58" s="2">
        <v>4.975388724079199</v>
      </c>
      <c r="AG58" s="2">
        <v>1.4</v>
      </c>
      <c r="AH58" s="2">
        <v>37.799999999999997</v>
      </c>
      <c r="AI58" s="2">
        <v>7.07</v>
      </c>
      <c r="AJ58" s="2"/>
      <c r="AK58" s="2"/>
      <c r="AL58" s="2"/>
      <c r="AM58" s="2"/>
      <c r="AN58" s="2"/>
    </row>
    <row r="59" spans="1:40" x14ac:dyDescent="0.35">
      <c r="A59" s="11"/>
      <c r="B59">
        <v>12</v>
      </c>
      <c r="C59" s="2">
        <v>2.9011212104906612</v>
      </c>
      <c r="D59" s="2">
        <v>0.50132547805531136</v>
      </c>
      <c r="E59" s="2">
        <v>1.8319970815500609E-2</v>
      </c>
      <c r="F59" s="2">
        <v>4.3078935425025877</v>
      </c>
      <c r="G59" s="2">
        <v>2.940392738697672</v>
      </c>
      <c r="H59" s="2">
        <v>8.1537742879638575</v>
      </c>
      <c r="I59" s="2">
        <v>0.91589368541115801</v>
      </c>
      <c r="J59" s="2">
        <v>3.6810679298856979</v>
      </c>
      <c r="K59" s="2">
        <v>0.47106550832974514</v>
      </c>
      <c r="L59" s="2">
        <v>5.7348877875116129</v>
      </c>
      <c r="M59" s="2">
        <v>18.496857811559845</v>
      </c>
      <c r="N59" s="2">
        <v>5.2422106830749096</v>
      </c>
      <c r="O59" s="2">
        <v>0</v>
      </c>
      <c r="P59" s="2">
        <v>0</v>
      </c>
      <c r="Q59" s="2">
        <v>0</v>
      </c>
      <c r="R59" s="2">
        <v>1.90825353651908</v>
      </c>
      <c r="S59" s="2">
        <v>3.3038811986631971</v>
      </c>
      <c r="T59" s="2">
        <v>18.999080729177621</v>
      </c>
      <c r="U59" s="2">
        <v>1.3542541959465499</v>
      </c>
      <c r="V59" s="2">
        <v>2.6706941457501432</v>
      </c>
      <c r="W59" s="2">
        <v>1.1632232744776809</v>
      </c>
      <c r="X59" s="2">
        <v>2.776776156291239</v>
      </c>
      <c r="Y59" s="2">
        <v>3.6745527548550418</v>
      </c>
      <c r="Z59" s="2">
        <v>2.7810543767226421</v>
      </c>
      <c r="AA59" s="2">
        <v>1.16585750474937</v>
      </c>
      <c r="AB59" s="2">
        <v>0.86027702553619667</v>
      </c>
      <c r="AC59" s="2">
        <v>0.80958622489635601</v>
      </c>
      <c r="AD59" s="2">
        <v>1.4406016440406961</v>
      </c>
      <c r="AE59" s="2">
        <v>1.4683942739015201</v>
      </c>
      <c r="AF59" s="2">
        <v>2.2587023241741231</v>
      </c>
      <c r="AG59" s="2">
        <v>1.29</v>
      </c>
      <c r="AH59" s="2">
        <v>37.700000000000003</v>
      </c>
      <c r="AI59" s="2">
        <v>6.26</v>
      </c>
      <c r="AJ59" s="2"/>
      <c r="AK59" s="2"/>
      <c r="AL59" s="2"/>
      <c r="AM59" s="2"/>
      <c r="AN59" s="2"/>
    </row>
    <row r="60" spans="1:40" x14ac:dyDescent="0.35">
      <c r="A60" s="11"/>
      <c r="B60">
        <v>13</v>
      </c>
      <c r="C60" s="2">
        <v>3.5482652077329742</v>
      </c>
      <c r="D60" s="2">
        <v>0.97008597411932629</v>
      </c>
      <c r="E60" s="2">
        <v>0.27962433205465898</v>
      </c>
      <c r="F60" s="2">
        <v>3.4178076285463721</v>
      </c>
      <c r="G60" s="2">
        <v>5.0413524667663143</v>
      </c>
      <c r="H60" s="2">
        <v>9.1375627730191571</v>
      </c>
      <c r="I60" s="2">
        <v>0.74787152846395633</v>
      </c>
      <c r="J60" s="2">
        <v>0.19137349437238929</v>
      </c>
      <c r="K60" s="2">
        <v>0.37876812106096969</v>
      </c>
      <c r="L60" s="2">
        <v>3.1682335698382231</v>
      </c>
      <c r="M60" s="2">
        <v>7.8336589409184407</v>
      </c>
      <c r="N60" s="2">
        <v>2.675371683284149</v>
      </c>
      <c r="O60" s="2">
        <v>0</v>
      </c>
      <c r="P60" s="2">
        <v>0</v>
      </c>
      <c r="Q60" s="2">
        <v>0</v>
      </c>
      <c r="R60" s="2">
        <v>2.0457410477186899</v>
      </c>
      <c r="S60" s="2">
        <v>4.8831313881622886</v>
      </c>
      <c r="T60" s="2">
        <v>29.43103350884914</v>
      </c>
      <c r="U60" s="2">
        <v>1.287229609064735</v>
      </c>
      <c r="V60" s="2">
        <v>3.3326558494122298</v>
      </c>
      <c r="W60" s="2">
        <v>1.560273622715868</v>
      </c>
      <c r="X60" s="2">
        <v>4.3102716159772978</v>
      </c>
      <c r="Y60" s="2">
        <v>2.2951608768111909</v>
      </c>
      <c r="Z60" s="2">
        <v>4.5927390131025518</v>
      </c>
      <c r="AA60" s="2">
        <v>0.66600180087151795</v>
      </c>
      <c r="AB60" s="2">
        <v>1.7392391711506789</v>
      </c>
      <c r="AC60" s="2">
        <v>0.92775161893059999</v>
      </c>
      <c r="AD60" s="2">
        <v>1.2555045342997559</v>
      </c>
      <c r="AE60" s="2">
        <v>0.97844604105027766</v>
      </c>
      <c r="AF60" s="2">
        <v>3.3048445817062362</v>
      </c>
      <c r="AG60" s="2">
        <v>1.1000000000000001</v>
      </c>
      <c r="AH60" s="2">
        <v>32</v>
      </c>
      <c r="AI60" s="2">
        <v>6.13</v>
      </c>
      <c r="AJ60" s="2"/>
      <c r="AK60" s="2"/>
      <c r="AL60" s="2"/>
      <c r="AM60" s="2"/>
      <c r="AN60" s="2"/>
    </row>
    <row r="61" spans="1:40" x14ac:dyDescent="0.35">
      <c r="A61" s="11"/>
      <c r="B61">
        <v>14</v>
      </c>
      <c r="C61" s="2">
        <v>3.6213801490907089</v>
      </c>
      <c r="D61" s="2">
        <v>0.62139812560879204</v>
      </c>
      <c r="E61" s="2">
        <v>0.53603622036679366</v>
      </c>
      <c r="F61" s="2">
        <v>3.4000718635358491</v>
      </c>
      <c r="G61" s="2">
        <v>2.6571696186944931</v>
      </c>
      <c r="H61" s="2">
        <v>7.0742103815038941</v>
      </c>
      <c r="I61" s="2">
        <v>0.86580707041505656</v>
      </c>
      <c r="J61" s="2">
        <v>1.2374397066402041</v>
      </c>
      <c r="K61" s="2">
        <v>0.17991462211059636</v>
      </c>
      <c r="L61" s="2">
        <v>5.1138899596506633</v>
      </c>
      <c r="M61" s="2">
        <v>21.114679613625007</v>
      </c>
      <c r="N61" s="2">
        <v>3.2181480780381539</v>
      </c>
      <c r="O61" s="2">
        <v>0</v>
      </c>
      <c r="P61" s="2">
        <v>0</v>
      </c>
      <c r="Q61" s="2">
        <v>0</v>
      </c>
      <c r="R61" s="2">
        <v>1.8952844545794929</v>
      </c>
      <c r="S61" s="2">
        <v>3.156715280668235</v>
      </c>
      <c r="T61" s="2">
        <v>18.066506636703195</v>
      </c>
      <c r="U61" s="2">
        <v>3.237547735156229</v>
      </c>
      <c r="V61" s="2">
        <v>1.161972375055778</v>
      </c>
      <c r="W61" s="2">
        <v>3.4597063566090909</v>
      </c>
      <c r="X61" s="2">
        <v>3.5480854415709979</v>
      </c>
      <c r="Y61" s="2">
        <v>1.956992729394579</v>
      </c>
      <c r="Z61" s="2">
        <v>5.0917582690558447</v>
      </c>
      <c r="AA61" s="2">
        <v>1.2798317505965431</v>
      </c>
      <c r="AB61" s="2">
        <v>1.6620458015834823</v>
      </c>
      <c r="AC61" s="2">
        <v>0.97695690494276199</v>
      </c>
      <c r="AD61" s="2">
        <v>0.93853910907174709</v>
      </c>
      <c r="AE61" s="2">
        <v>1.2792238691511379</v>
      </c>
      <c r="AF61" s="2">
        <v>2.648687876580671</v>
      </c>
      <c r="AG61" s="2">
        <v>0.61</v>
      </c>
      <c r="AH61" s="2">
        <v>34</v>
      </c>
      <c r="AI61" s="2">
        <v>5.58</v>
      </c>
      <c r="AJ61" s="2"/>
      <c r="AK61" s="2"/>
      <c r="AL61" s="2"/>
      <c r="AM61" s="2"/>
      <c r="AN61" s="2"/>
    </row>
    <row r="62" spans="1:40" x14ac:dyDescent="0.35">
      <c r="A62" s="11"/>
      <c r="B62">
        <v>15</v>
      </c>
      <c r="C62" s="2">
        <v>3.231583391521621</v>
      </c>
      <c r="D62" s="2">
        <v>0.34140042106143603</v>
      </c>
      <c r="E62" s="2">
        <v>1.0382826353408303</v>
      </c>
      <c r="F62" s="2">
        <v>1.5496099049840819</v>
      </c>
      <c r="G62" s="2">
        <v>2.047905764041166</v>
      </c>
      <c r="H62" s="2">
        <v>7.3407063767395417</v>
      </c>
      <c r="I62" s="2">
        <v>0.8591817418105574</v>
      </c>
      <c r="J62" s="2">
        <v>0.24822668147832991</v>
      </c>
      <c r="K62" s="2">
        <v>0.94367125481330549</v>
      </c>
      <c r="L62" s="2">
        <v>4.9971967846394794</v>
      </c>
      <c r="M62" s="2">
        <v>25.888813304838187</v>
      </c>
      <c r="N62" s="2">
        <v>3.3356692374247521</v>
      </c>
      <c r="O62" s="2">
        <v>0</v>
      </c>
      <c r="P62" s="2">
        <v>0</v>
      </c>
      <c r="Q62" s="2">
        <v>0</v>
      </c>
      <c r="R62" s="2">
        <v>2.9060658948188269</v>
      </c>
      <c r="S62" s="2">
        <v>3.4155149004837182</v>
      </c>
      <c r="T62" s="2">
        <v>14.345935511350021</v>
      </c>
      <c r="U62" s="2">
        <v>2.5050363713444699</v>
      </c>
      <c r="V62" s="2">
        <v>3.8049313860867748</v>
      </c>
      <c r="W62" s="2">
        <v>3.2288101014880062</v>
      </c>
      <c r="X62" s="2">
        <v>2.3750784263130642</v>
      </c>
      <c r="Y62" s="2">
        <v>2.1897428215808219</v>
      </c>
      <c r="Z62" s="2">
        <v>4.7974862669014398</v>
      </c>
      <c r="AA62" s="2">
        <v>1.3502396293220158</v>
      </c>
      <c r="AB62" s="2">
        <v>1.6572838837421537</v>
      </c>
      <c r="AC62" s="2">
        <v>1.064360494028683</v>
      </c>
      <c r="AD62" s="2">
        <v>0.89177289720861197</v>
      </c>
      <c r="AE62" s="2">
        <v>0.442035396678718</v>
      </c>
      <c r="AF62" s="2">
        <v>3.203458519959379</v>
      </c>
      <c r="AG62" s="2">
        <v>0.59</v>
      </c>
      <c r="AH62" s="2">
        <v>32.4</v>
      </c>
      <c r="AI62" s="2">
        <v>4.63</v>
      </c>
      <c r="AJ62" s="2"/>
      <c r="AK62" s="2"/>
      <c r="AL62" s="2"/>
      <c r="AM62" s="2"/>
      <c r="AN62" s="2"/>
    </row>
    <row r="63" spans="1:40" x14ac:dyDescent="0.35">
      <c r="A63" s="11"/>
      <c r="B63">
        <v>16</v>
      </c>
      <c r="C63" s="2">
        <v>2.6624986136729261</v>
      </c>
      <c r="D63" s="2">
        <v>0.60641931631613366</v>
      </c>
      <c r="E63" s="2">
        <v>0.35041843168596037</v>
      </c>
      <c r="F63" s="2">
        <v>3.79138982707441</v>
      </c>
      <c r="G63" s="2">
        <v>4.9918298871546423</v>
      </c>
      <c r="H63" s="2">
        <v>7.8575653560587373</v>
      </c>
      <c r="I63" s="2">
        <v>0.95554589432187265</v>
      </c>
      <c r="J63" s="2">
        <v>1.6161289498201219</v>
      </c>
      <c r="K63" s="2">
        <v>1.5859605696581081</v>
      </c>
      <c r="L63" s="2">
        <v>3.0188098504956891</v>
      </c>
      <c r="M63" s="2">
        <v>13.01428456322208</v>
      </c>
      <c r="N63" s="2">
        <v>4.7209617213506867</v>
      </c>
      <c r="O63" s="2">
        <v>0</v>
      </c>
      <c r="P63" s="2">
        <v>0</v>
      </c>
      <c r="Q63" s="2">
        <v>0</v>
      </c>
      <c r="R63" s="2">
        <v>3.6673066088892559</v>
      </c>
      <c r="S63" s="2">
        <v>3.6582322843799369</v>
      </c>
      <c r="T63" s="2">
        <v>25.747653987688992</v>
      </c>
      <c r="U63" s="2">
        <v>1.3361459509112239</v>
      </c>
      <c r="V63" s="2">
        <v>2.3115563379193169</v>
      </c>
      <c r="W63" s="2">
        <v>1.051730678864534</v>
      </c>
      <c r="X63" s="2">
        <v>2.4727823150841499</v>
      </c>
      <c r="Y63" s="2">
        <v>2.7966198015731711</v>
      </c>
      <c r="Z63" s="2">
        <v>3.977602255947708</v>
      </c>
      <c r="AA63" s="2">
        <v>1.6472412467299355</v>
      </c>
      <c r="AB63" s="2">
        <v>0.88426220087034835</v>
      </c>
      <c r="AC63" s="2">
        <v>0.59697020551893665</v>
      </c>
      <c r="AD63" s="2">
        <v>1.0158216108376694</v>
      </c>
      <c r="AE63" s="2">
        <v>1.4212237470385671</v>
      </c>
      <c r="AF63" s="2">
        <v>2.2430377869148721</v>
      </c>
      <c r="AG63" s="2">
        <v>0.62</v>
      </c>
      <c r="AH63" s="2">
        <v>32.299999999999997</v>
      </c>
      <c r="AI63" s="2">
        <v>4.08</v>
      </c>
      <c r="AJ63" s="2"/>
      <c r="AK63" s="2"/>
      <c r="AL63" s="2"/>
      <c r="AM63" s="2"/>
      <c r="AN63" s="2"/>
    </row>
    <row r="64" spans="1:40" x14ac:dyDescent="0.35">
      <c r="A64" s="11"/>
      <c r="B64">
        <v>17</v>
      </c>
      <c r="C64" s="2">
        <v>4.9011049630598302</v>
      </c>
      <c r="D64" s="2">
        <v>0.12843358354244686</v>
      </c>
      <c r="E64" s="2">
        <v>0.57171107298478574</v>
      </c>
      <c r="F64" s="2">
        <v>2.5315002139648741</v>
      </c>
      <c r="G64" s="2">
        <v>3.0100315629834942</v>
      </c>
      <c r="H64" s="2">
        <v>8.4037030821872687</v>
      </c>
      <c r="I64" s="2">
        <v>0.9561865938337254</v>
      </c>
      <c r="J64" s="2">
        <v>3.196063495511964</v>
      </c>
      <c r="K64" s="2">
        <v>1.7261855821375489</v>
      </c>
      <c r="L64" s="2">
        <v>4.336821568591585</v>
      </c>
      <c r="M64" s="2">
        <v>17.995065862495213</v>
      </c>
      <c r="N64" s="2">
        <v>3.664411147553547</v>
      </c>
      <c r="O64" s="2">
        <v>0</v>
      </c>
      <c r="P64" s="2">
        <v>0</v>
      </c>
      <c r="Q64" s="2">
        <v>0</v>
      </c>
      <c r="R64" s="2">
        <v>2.932035530135328</v>
      </c>
      <c r="S64" s="2">
        <v>2.281336870697809</v>
      </c>
      <c r="T64" s="2">
        <v>18.451198514230896</v>
      </c>
      <c r="U64" s="2">
        <v>2.7495003409205041</v>
      </c>
      <c r="V64" s="2">
        <v>1.535267886143507</v>
      </c>
      <c r="W64" s="2">
        <v>3.632933576997369</v>
      </c>
      <c r="X64" s="2">
        <v>2.6131028456382022</v>
      </c>
      <c r="Y64" s="2">
        <v>2.3118957722920199</v>
      </c>
      <c r="Z64" s="2">
        <v>2.9188384972563561</v>
      </c>
      <c r="AA64" s="2">
        <v>1.7292492704504354</v>
      </c>
      <c r="AB64" s="2">
        <v>0.85792612505777999</v>
      </c>
      <c r="AC64" s="2">
        <v>0.31958647277340407</v>
      </c>
      <c r="AD64" s="2">
        <v>1.3474549525780557</v>
      </c>
      <c r="AE64" s="2">
        <v>0.67724314522153295</v>
      </c>
      <c r="AF64" s="2">
        <v>4.2212114707605144</v>
      </c>
      <c r="AG64" s="2">
        <v>0.67</v>
      </c>
      <c r="AH64" s="2">
        <v>30.3</v>
      </c>
      <c r="AI64" s="2">
        <v>2.84</v>
      </c>
      <c r="AJ64" s="2"/>
      <c r="AK64" s="2"/>
      <c r="AL64" s="2"/>
      <c r="AM64" s="2"/>
      <c r="AN64" s="2"/>
    </row>
    <row r="65" spans="1:40" x14ac:dyDescent="0.35">
      <c r="A65" s="11"/>
      <c r="B65">
        <v>18</v>
      </c>
      <c r="C65" s="2">
        <v>4.1308420980367808</v>
      </c>
      <c r="D65" s="2">
        <v>0.66745536650488801</v>
      </c>
      <c r="E65" s="2">
        <v>1.0149585859313139</v>
      </c>
      <c r="F65" s="2">
        <v>3.098067677707943</v>
      </c>
      <c r="G65" s="2">
        <v>2.44995331743652</v>
      </c>
      <c r="H65" s="2">
        <v>8.3673506899685428</v>
      </c>
      <c r="I65" s="2">
        <v>0.95922397110197044</v>
      </c>
      <c r="J65" s="2">
        <v>2.6856273235453361</v>
      </c>
      <c r="K65" s="2">
        <v>9.8068149851727751E-2</v>
      </c>
      <c r="L65" s="2">
        <v>4.5830819680544614</v>
      </c>
      <c r="M65" s="2">
        <v>12.433911409291941</v>
      </c>
      <c r="N65" s="2">
        <v>3.766722132846414</v>
      </c>
      <c r="O65" s="2">
        <v>0</v>
      </c>
      <c r="P65" s="2">
        <v>0</v>
      </c>
      <c r="Q65" s="2">
        <v>0</v>
      </c>
      <c r="R65" s="2">
        <v>3.234326568092011</v>
      </c>
      <c r="S65" s="2">
        <v>4.8549597309449153</v>
      </c>
      <c r="T65" s="2">
        <v>25.04216263925116</v>
      </c>
      <c r="U65" s="2">
        <v>3.3942169444022352</v>
      </c>
      <c r="V65" s="2">
        <v>2.8939307518969528</v>
      </c>
      <c r="W65" s="2">
        <v>0.87146485286997677</v>
      </c>
      <c r="X65" s="2">
        <v>2.9284062145085761</v>
      </c>
      <c r="Y65" s="2">
        <v>2.6897509577601011</v>
      </c>
      <c r="Z65" s="2">
        <v>3.311911092957124</v>
      </c>
      <c r="AA65" s="2">
        <v>0.96159506472158174</v>
      </c>
      <c r="AB65" s="2">
        <v>0.9923399102320466</v>
      </c>
      <c r="AC65" s="2">
        <v>0.74933431870713063</v>
      </c>
      <c r="AD65" s="2">
        <v>1.0333203969450733</v>
      </c>
      <c r="AE65" s="2">
        <v>0.63249892723112966</v>
      </c>
      <c r="AF65" s="2">
        <v>2.1545189392021782</v>
      </c>
      <c r="AG65" s="2">
        <v>0.3</v>
      </c>
      <c r="AH65" s="2">
        <v>34.9</v>
      </c>
      <c r="AI65" s="2">
        <v>2.44</v>
      </c>
      <c r="AJ65" s="2"/>
      <c r="AK65" s="2"/>
      <c r="AL65" s="2"/>
      <c r="AM65" s="2"/>
      <c r="AN65" s="2"/>
    </row>
    <row r="66" spans="1:40" x14ac:dyDescent="0.35">
      <c r="A66" s="11"/>
      <c r="B66">
        <v>19</v>
      </c>
      <c r="C66" s="2">
        <v>1.9755246522916849</v>
      </c>
      <c r="D66" s="2">
        <v>0.70499758626462439</v>
      </c>
      <c r="E66" s="2">
        <v>0.23007071296108705</v>
      </c>
      <c r="F66" s="2">
        <v>1.017446171274393</v>
      </c>
      <c r="G66" s="2">
        <v>5.607182586833118</v>
      </c>
      <c r="H66" s="2">
        <v>9.3562889970557581</v>
      </c>
      <c r="I66" s="2">
        <v>0.86232857511322669</v>
      </c>
      <c r="J66" s="2">
        <v>3.1274128969146622</v>
      </c>
      <c r="K66" s="2">
        <v>1.7787477322514735</v>
      </c>
      <c r="L66" s="2">
        <v>4.1946718675589221</v>
      </c>
      <c r="M66" s="2">
        <v>10.840707423031265</v>
      </c>
      <c r="N66" s="2">
        <v>2.0168614784331451</v>
      </c>
      <c r="O66" s="2">
        <v>0</v>
      </c>
      <c r="P66" s="2">
        <v>0</v>
      </c>
      <c r="Q66" s="2">
        <v>0</v>
      </c>
      <c r="R66" s="2">
        <v>4.0283038643317282</v>
      </c>
      <c r="S66" s="2">
        <v>2.2644822596144598</v>
      </c>
      <c r="T66" s="2">
        <v>23.335756021271706</v>
      </c>
      <c r="U66" s="2">
        <v>2.93149896908833</v>
      </c>
      <c r="V66" s="2">
        <v>0.99189503806857482</v>
      </c>
      <c r="W66" s="2">
        <v>2.887282251345086</v>
      </c>
      <c r="X66" s="2">
        <v>4.8267982084246794</v>
      </c>
      <c r="Y66" s="2">
        <v>2.5839880642086279</v>
      </c>
      <c r="Z66" s="2">
        <v>5.2784218661954538</v>
      </c>
      <c r="AA66" s="2">
        <v>1.3743953384735288</v>
      </c>
      <c r="AB66" s="2">
        <v>0.96510540206814743</v>
      </c>
      <c r="AC66" s="2">
        <v>0.16936990340304195</v>
      </c>
      <c r="AD66" s="2">
        <v>0.36986940674908397</v>
      </c>
      <c r="AE66" s="2">
        <v>1.0157989166996175</v>
      </c>
      <c r="AF66" s="2">
        <v>5.2647938100745746</v>
      </c>
      <c r="AG66" s="2">
        <v>0.3</v>
      </c>
      <c r="AH66" s="2">
        <v>34</v>
      </c>
      <c r="AI66" s="2">
        <v>1.29</v>
      </c>
      <c r="AJ66" s="2"/>
      <c r="AK66" s="2"/>
      <c r="AL66" s="2"/>
      <c r="AM66" s="2"/>
      <c r="AN66" s="2"/>
    </row>
    <row r="67" spans="1:40" x14ac:dyDescent="0.35">
      <c r="A67" s="11"/>
      <c r="B67">
        <v>20</v>
      </c>
      <c r="C67" s="2">
        <v>3.8486021669547741</v>
      </c>
      <c r="D67" s="2">
        <v>0.82336743496932563</v>
      </c>
      <c r="E67" s="2">
        <v>0.55866202040323765</v>
      </c>
      <c r="F67" s="2">
        <v>2.8816533715042092</v>
      </c>
      <c r="G67" s="2">
        <v>2.7144628990290069</v>
      </c>
      <c r="H67" s="2">
        <v>10.14923175035787</v>
      </c>
      <c r="I67" s="2">
        <v>1.0556680323577019</v>
      </c>
      <c r="J67" s="2">
        <v>3.488744085327002</v>
      </c>
      <c r="K67" s="2">
        <v>0.55533211502134849</v>
      </c>
      <c r="L67" s="2">
        <v>3.2983228135420601</v>
      </c>
      <c r="M67" s="2">
        <v>16.375222393614496</v>
      </c>
      <c r="N67" s="2">
        <v>4.750211850407851</v>
      </c>
      <c r="O67" s="2">
        <v>0</v>
      </c>
      <c r="P67" s="2">
        <v>0</v>
      </c>
      <c r="Q67" s="2">
        <v>0</v>
      </c>
      <c r="R67" s="2">
        <v>2.488505970618899</v>
      </c>
      <c r="S67" s="2">
        <v>2.6435754064618302</v>
      </c>
      <c r="T67" s="2">
        <v>19.542055982365568</v>
      </c>
      <c r="U67" s="2">
        <v>3.8543266444982889</v>
      </c>
      <c r="V67" s="2">
        <v>1.7667785053943561</v>
      </c>
      <c r="W67" s="2">
        <v>3.8385887612110801</v>
      </c>
      <c r="X67" s="2">
        <v>1.734585684154766</v>
      </c>
      <c r="Y67" s="2">
        <v>3.4871595322436062</v>
      </c>
      <c r="Z67" s="2">
        <v>3.075981020371509</v>
      </c>
      <c r="AA67" s="2">
        <v>0.65031113782380268</v>
      </c>
      <c r="AB67" s="2">
        <v>1.3375434660546093</v>
      </c>
      <c r="AC67" s="2">
        <v>0.28276814191961508</v>
      </c>
      <c r="AD67" s="2">
        <v>1.145014506575702</v>
      </c>
      <c r="AE67" s="2">
        <v>1.1555207394878437</v>
      </c>
      <c r="AF67" s="2">
        <v>2.497803567329631</v>
      </c>
      <c r="AG67" s="2">
        <v>0.06</v>
      </c>
      <c r="AH67" s="2">
        <v>30.4</v>
      </c>
      <c r="AI67" s="2">
        <v>0.77</v>
      </c>
      <c r="AJ67" s="2"/>
      <c r="AK67" s="2"/>
      <c r="AL67" s="2"/>
      <c r="AM67" s="2"/>
      <c r="AN67" s="2"/>
    </row>
  </sheetData>
  <mergeCells count="3">
    <mergeCell ref="A25:A45"/>
    <mergeCell ref="A3:A23"/>
    <mergeCell ref="A47:A6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>
      <selection activeCell="H12" sqref="H11:H12"/>
    </sheetView>
  </sheetViews>
  <sheetFormatPr defaultRowHeight="14.5" x14ac:dyDescent="0.35"/>
  <cols>
    <col min="1" max="1" width="9.453125" bestFit="1" customWidth="1"/>
    <col min="2" max="2" width="9.6328125" bestFit="1" customWidth="1"/>
    <col min="3" max="3" width="31.54296875" bestFit="1" customWidth="1"/>
    <col min="4" max="4" width="21.36328125" bestFit="1" customWidth="1"/>
    <col min="5" max="5" width="23.36328125" bestFit="1" customWidth="1"/>
    <col min="8" max="8" width="17.6328125" bestFit="1" customWidth="1"/>
  </cols>
  <sheetData>
    <row r="1" spans="1:9" x14ac:dyDescent="0.35">
      <c r="A1" s="1" t="s">
        <v>0</v>
      </c>
      <c r="B1" s="1" t="s">
        <v>1</v>
      </c>
      <c r="C1" s="1" t="s">
        <v>49</v>
      </c>
      <c r="D1" s="1" t="s">
        <v>38</v>
      </c>
      <c r="E1" s="1" t="s">
        <v>39</v>
      </c>
      <c r="H1" t="s">
        <v>66</v>
      </c>
      <c r="I1" t="s">
        <v>67</v>
      </c>
    </row>
    <row r="2" spans="1:9" x14ac:dyDescent="0.35">
      <c r="A2" t="s">
        <v>35</v>
      </c>
      <c r="B2">
        <v>0</v>
      </c>
      <c r="C2" s="12">
        <v>308.50267834897289</v>
      </c>
      <c r="D2">
        <v>1</v>
      </c>
      <c r="E2">
        <v>42.64</v>
      </c>
      <c r="I2" t="s">
        <v>68</v>
      </c>
    </row>
    <row r="3" spans="1:9" x14ac:dyDescent="0.35">
      <c r="A3" t="s">
        <v>35</v>
      </c>
      <c r="B3">
        <v>1</v>
      </c>
      <c r="C3" s="12">
        <v>534.77149081051266</v>
      </c>
      <c r="D3">
        <v>1.03</v>
      </c>
      <c r="E3">
        <v>43.28</v>
      </c>
      <c r="H3">
        <v>1</v>
      </c>
      <c r="I3">
        <v>0</v>
      </c>
    </row>
    <row r="4" spans="1:9" x14ac:dyDescent="0.35">
      <c r="A4" t="s">
        <v>35</v>
      </c>
      <c r="B4">
        <v>2</v>
      </c>
      <c r="C4" s="12">
        <v>745.40386186978481</v>
      </c>
      <c r="D4">
        <v>1.08</v>
      </c>
      <c r="E4">
        <v>51.63</v>
      </c>
      <c r="H4">
        <v>2</v>
      </c>
      <c r="I4">
        <v>3</v>
      </c>
    </row>
    <row r="5" spans="1:9" x14ac:dyDescent="0.35">
      <c r="A5" t="s">
        <v>35</v>
      </c>
      <c r="B5">
        <v>3</v>
      </c>
      <c r="C5" s="12">
        <v>1114.2722210209788</v>
      </c>
      <c r="D5">
        <v>1.1399999999999999</v>
      </c>
      <c r="E5">
        <v>53.61</v>
      </c>
      <c r="H5">
        <v>3</v>
      </c>
      <c r="I5">
        <v>7.5</v>
      </c>
    </row>
    <row r="6" spans="1:9" x14ac:dyDescent="0.35">
      <c r="A6" t="s">
        <v>35</v>
      </c>
      <c r="B6">
        <v>4</v>
      </c>
      <c r="C6" s="12">
        <v>1399.190226366213</v>
      </c>
      <c r="D6">
        <v>1.21</v>
      </c>
      <c r="E6">
        <v>64.2</v>
      </c>
      <c r="H6">
        <v>4</v>
      </c>
      <c r="I6">
        <v>20</v>
      </c>
    </row>
    <row r="7" spans="1:9" x14ac:dyDescent="0.35">
      <c r="A7" t="s">
        <v>35</v>
      </c>
      <c r="B7">
        <v>5</v>
      </c>
      <c r="C7" s="12">
        <v>1566.5700791801212</v>
      </c>
      <c r="D7">
        <v>1.29</v>
      </c>
      <c r="E7">
        <v>60.28</v>
      </c>
      <c r="H7">
        <v>5</v>
      </c>
      <c r="I7">
        <v>50</v>
      </c>
    </row>
    <row r="8" spans="1:9" x14ac:dyDescent="0.35">
      <c r="A8" t="s">
        <v>35</v>
      </c>
      <c r="B8">
        <v>6</v>
      </c>
      <c r="C8" s="12">
        <v>1759.7717578425049</v>
      </c>
      <c r="D8">
        <v>1.37</v>
      </c>
      <c r="E8">
        <v>59.78</v>
      </c>
      <c r="H8">
        <v>6</v>
      </c>
      <c r="I8">
        <v>120</v>
      </c>
    </row>
    <row r="9" spans="1:9" x14ac:dyDescent="0.35">
      <c r="A9" t="s">
        <v>35</v>
      </c>
      <c r="B9">
        <v>7</v>
      </c>
      <c r="C9" s="12">
        <v>2216.6052943714653</v>
      </c>
      <c r="D9">
        <v>1.46</v>
      </c>
      <c r="E9">
        <v>67.900000000000006</v>
      </c>
      <c r="H9">
        <v>7</v>
      </c>
      <c r="I9">
        <v>350</v>
      </c>
    </row>
    <row r="10" spans="1:9" x14ac:dyDescent="0.35">
      <c r="A10" t="s">
        <v>35</v>
      </c>
      <c r="B10">
        <v>8</v>
      </c>
      <c r="C10" s="12">
        <v>2319.0352126366288</v>
      </c>
      <c r="D10">
        <v>1.55</v>
      </c>
      <c r="E10">
        <v>69.11</v>
      </c>
      <c r="H10">
        <v>8</v>
      </c>
      <c r="I10">
        <v>1000</v>
      </c>
    </row>
    <row r="11" spans="1:9" x14ac:dyDescent="0.35">
      <c r="A11" t="s">
        <v>35</v>
      </c>
      <c r="B11">
        <v>9</v>
      </c>
      <c r="C11" s="12">
        <v>2419.0472307500222</v>
      </c>
      <c r="D11">
        <v>1.65</v>
      </c>
      <c r="E11">
        <v>78.930000000000007</v>
      </c>
      <c r="H11">
        <v>9</v>
      </c>
      <c r="I11">
        <v>4000</v>
      </c>
    </row>
    <row r="12" spans="1:9" x14ac:dyDescent="0.35">
      <c r="A12" t="s">
        <v>35</v>
      </c>
      <c r="B12">
        <v>10</v>
      </c>
      <c r="C12" s="12">
        <v>2777.2519232956097</v>
      </c>
      <c r="D12">
        <v>1.76</v>
      </c>
      <c r="E12">
        <v>80.13</v>
      </c>
      <c r="H12">
        <v>10</v>
      </c>
      <c r="I12">
        <v>20000</v>
      </c>
    </row>
    <row r="13" spans="1:9" x14ac:dyDescent="0.35">
      <c r="A13" t="s">
        <v>35</v>
      </c>
      <c r="B13">
        <v>11</v>
      </c>
      <c r="C13" s="12">
        <v>3137.3906829049147</v>
      </c>
      <c r="D13">
        <v>1.87</v>
      </c>
      <c r="E13">
        <v>83.59</v>
      </c>
    </row>
    <row r="14" spans="1:9" x14ac:dyDescent="0.35">
      <c r="A14" t="s">
        <v>35</v>
      </c>
      <c r="B14">
        <v>12</v>
      </c>
      <c r="C14" s="12">
        <v>3170.8518101461336</v>
      </c>
      <c r="D14">
        <v>1.98</v>
      </c>
      <c r="E14">
        <v>87.63</v>
      </c>
    </row>
    <row r="15" spans="1:9" x14ac:dyDescent="0.35">
      <c r="A15" t="s">
        <v>35</v>
      </c>
      <c r="B15">
        <v>13</v>
      </c>
      <c r="C15" s="12">
        <v>3656.154262155052</v>
      </c>
      <c r="D15">
        <v>2.09</v>
      </c>
      <c r="E15">
        <v>94.22</v>
      </c>
    </row>
    <row r="16" spans="1:9" x14ac:dyDescent="0.35">
      <c r="A16" t="s">
        <v>35</v>
      </c>
      <c r="B16">
        <v>14</v>
      </c>
      <c r="C16" s="12">
        <v>3793.521523375623</v>
      </c>
      <c r="D16">
        <v>2.21</v>
      </c>
      <c r="E16">
        <v>94.64</v>
      </c>
    </row>
    <row r="17" spans="1:5" x14ac:dyDescent="0.35">
      <c r="A17" t="s">
        <v>35</v>
      </c>
      <c r="B17">
        <v>15</v>
      </c>
      <c r="C17" s="12">
        <v>3860.7034075441611</v>
      </c>
      <c r="D17">
        <v>2.34</v>
      </c>
      <c r="E17">
        <v>102.33</v>
      </c>
    </row>
    <row r="18" spans="1:5" x14ac:dyDescent="0.35">
      <c r="A18" t="s">
        <v>35</v>
      </c>
      <c r="B18">
        <v>16</v>
      </c>
      <c r="C18" s="12">
        <v>4207.8616091555914</v>
      </c>
      <c r="D18">
        <v>2.46</v>
      </c>
      <c r="E18">
        <v>107.14</v>
      </c>
    </row>
    <row r="19" spans="1:5" x14ac:dyDescent="0.35">
      <c r="A19" t="s">
        <v>35</v>
      </c>
      <c r="B19">
        <v>17</v>
      </c>
      <c r="C19" s="12">
        <v>4345.8690894410747</v>
      </c>
      <c r="D19">
        <v>2.59</v>
      </c>
      <c r="E19">
        <v>106.97</v>
      </c>
    </row>
    <row r="20" spans="1:5" x14ac:dyDescent="0.35">
      <c r="A20" t="s">
        <v>35</v>
      </c>
      <c r="B20">
        <v>18</v>
      </c>
      <c r="C20" s="12">
        <v>4775.1674032972105</v>
      </c>
      <c r="D20">
        <v>2.73</v>
      </c>
      <c r="E20">
        <v>109.22</v>
      </c>
    </row>
    <row r="21" spans="1:5" x14ac:dyDescent="0.35">
      <c r="A21" t="s">
        <v>35</v>
      </c>
      <c r="B21">
        <v>19</v>
      </c>
      <c r="C21" s="12">
        <v>4993.3764086508472</v>
      </c>
      <c r="D21">
        <v>2.86</v>
      </c>
      <c r="E21">
        <v>114.46</v>
      </c>
    </row>
    <row r="22" spans="1:5" x14ac:dyDescent="0.35">
      <c r="A22" t="s">
        <v>35</v>
      </c>
      <c r="B22">
        <v>20</v>
      </c>
      <c r="C22" s="12">
        <v>5428.7561701152899</v>
      </c>
      <c r="D22">
        <v>3</v>
      </c>
      <c r="E22">
        <v>122.13</v>
      </c>
    </row>
    <row r="23" spans="1:5" x14ac:dyDescent="0.35">
      <c r="C23" s="12"/>
    </row>
    <row r="24" spans="1:5" x14ac:dyDescent="0.35">
      <c r="A24" t="s">
        <v>36</v>
      </c>
      <c r="B24">
        <v>0</v>
      </c>
      <c r="C24" s="12">
        <v>250</v>
      </c>
      <c r="D24">
        <v>1</v>
      </c>
      <c r="E24">
        <v>36.28</v>
      </c>
    </row>
    <row r="25" spans="1:5" x14ac:dyDescent="0.35">
      <c r="A25" t="s">
        <v>36</v>
      </c>
      <c r="B25">
        <v>1</v>
      </c>
      <c r="C25" s="12">
        <v>336.39171194147025</v>
      </c>
      <c r="D25">
        <v>1.03</v>
      </c>
      <c r="E25">
        <v>41.89</v>
      </c>
    </row>
    <row r="26" spans="1:5" x14ac:dyDescent="0.35">
      <c r="A26" t="s">
        <v>36</v>
      </c>
      <c r="B26">
        <v>2</v>
      </c>
      <c r="C26" s="12">
        <v>621.35021178526881</v>
      </c>
      <c r="D26">
        <v>1.08</v>
      </c>
      <c r="E26">
        <v>49.29</v>
      </c>
    </row>
    <row r="27" spans="1:5" x14ac:dyDescent="0.35">
      <c r="A27" t="s">
        <v>36</v>
      </c>
      <c r="B27">
        <v>3</v>
      </c>
      <c r="C27" s="12">
        <v>745.41337550128605</v>
      </c>
      <c r="D27">
        <v>1.1399999999999999</v>
      </c>
      <c r="E27">
        <v>48.69</v>
      </c>
    </row>
    <row r="28" spans="1:5" x14ac:dyDescent="0.35">
      <c r="A28" t="s">
        <v>36</v>
      </c>
      <c r="B28">
        <v>4</v>
      </c>
      <c r="C28" s="12">
        <v>901.18105526147053</v>
      </c>
      <c r="D28">
        <v>1.21</v>
      </c>
      <c r="E28">
        <v>49.57</v>
      </c>
    </row>
    <row r="29" spans="1:5" x14ac:dyDescent="0.35">
      <c r="A29" t="s">
        <v>36</v>
      </c>
      <c r="B29">
        <v>5</v>
      </c>
      <c r="C29" s="12">
        <v>1178.1643173516829</v>
      </c>
      <c r="D29">
        <v>1.29</v>
      </c>
      <c r="E29">
        <v>59.17</v>
      </c>
    </row>
    <row r="30" spans="1:5" x14ac:dyDescent="0.35">
      <c r="A30" t="s">
        <v>36</v>
      </c>
      <c r="B30">
        <v>6</v>
      </c>
      <c r="C30" s="12">
        <v>1253.745761496195</v>
      </c>
      <c r="D30">
        <v>1.37</v>
      </c>
      <c r="E30">
        <v>60.15</v>
      </c>
    </row>
    <row r="31" spans="1:5" x14ac:dyDescent="0.35">
      <c r="A31" t="s">
        <v>36</v>
      </c>
      <c r="B31">
        <v>7</v>
      </c>
      <c r="C31" s="12">
        <v>1691.9559612326047</v>
      </c>
      <c r="D31">
        <v>1.46</v>
      </c>
      <c r="E31">
        <v>66.62</v>
      </c>
    </row>
    <row r="32" spans="1:5" x14ac:dyDescent="0.35">
      <c r="A32" t="s">
        <v>36</v>
      </c>
      <c r="B32">
        <v>8</v>
      </c>
      <c r="C32" s="12">
        <v>2050.0143664912439</v>
      </c>
      <c r="D32">
        <v>1.55</v>
      </c>
      <c r="E32">
        <v>71.2</v>
      </c>
    </row>
    <row r="33" spans="1:5" x14ac:dyDescent="0.35">
      <c r="A33" t="s">
        <v>36</v>
      </c>
      <c r="B33">
        <v>9</v>
      </c>
      <c r="C33" s="12">
        <v>2276.1975537496578</v>
      </c>
      <c r="D33">
        <v>1.65</v>
      </c>
      <c r="E33">
        <v>69.12</v>
      </c>
    </row>
    <row r="34" spans="1:5" x14ac:dyDescent="0.35">
      <c r="A34" t="s">
        <v>36</v>
      </c>
      <c r="B34">
        <v>10</v>
      </c>
      <c r="C34" s="12">
        <v>2399.7285919992801</v>
      </c>
      <c r="D34">
        <v>1.76</v>
      </c>
      <c r="E34">
        <v>80.150000000000006</v>
      </c>
    </row>
    <row r="35" spans="1:5" x14ac:dyDescent="0.35">
      <c r="A35" t="s">
        <v>36</v>
      </c>
      <c r="B35">
        <v>11</v>
      </c>
      <c r="C35" s="12">
        <v>2526.9893916420206</v>
      </c>
      <c r="D35">
        <v>1.87</v>
      </c>
      <c r="E35">
        <v>82.72</v>
      </c>
    </row>
    <row r="36" spans="1:5" x14ac:dyDescent="0.35">
      <c r="A36" t="s">
        <v>36</v>
      </c>
      <c r="B36">
        <v>12</v>
      </c>
      <c r="C36" s="12">
        <v>2976.3191369462461</v>
      </c>
      <c r="D36">
        <v>1.98</v>
      </c>
      <c r="E36">
        <v>82.19</v>
      </c>
    </row>
    <row r="37" spans="1:5" x14ac:dyDescent="0.35">
      <c r="A37" t="s">
        <v>36</v>
      </c>
      <c r="B37">
        <v>13</v>
      </c>
      <c r="C37" s="12">
        <v>3222.1175421694511</v>
      </c>
      <c r="D37">
        <v>2.09</v>
      </c>
      <c r="E37">
        <v>88.91</v>
      </c>
    </row>
    <row r="38" spans="1:5" x14ac:dyDescent="0.35">
      <c r="A38" t="s">
        <v>36</v>
      </c>
      <c r="B38">
        <v>14</v>
      </c>
      <c r="C38" s="12">
        <v>3675.9114734869022</v>
      </c>
      <c r="D38">
        <v>2.21</v>
      </c>
      <c r="E38">
        <v>92.77</v>
      </c>
    </row>
    <row r="39" spans="1:5" x14ac:dyDescent="0.35">
      <c r="A39" t="s">
        <v>36</v>
      </c>
      <c r="B39">
        <v>15</v>
      </c>
      <c r="C39" s="12">
        <v>4142.0309603435107</v>
      </c>
      <c r="D39">
        <v>2.34</v>
      </c>
      <c r="E39">
        <v>96.07</v>
      </c>
    </row>
    <row r="40" spans="1:5" x14ac:dyDescent="0.35">
      <c r="A40" t="s">
        <v>36</v>
      </c>
      <c r="B40">
        <v>16</v>
      </c>
      <c r="C40" s="12">
        <v>4524.6426439114821</v>
      </c>
      <c r="D40">
        <v>2.46</v>
      </c>
      <c r="E40">
        <v>102.62</v>
      </c>
    </row>
    <row r="41" spans="1:5" x14ac:dyDescent="0.35">
      <c r="A41" t="s">
        <v>36</v>
      </c>
      <c r="B41">
        <v>17</v>
      </c>
      <c r="C41" s="12">
        <v>4760.9483008331026</v>
      </c>
      <c r="D41">
        <v>2.59</v>
      </c>
      <c r="E41">
        <v>108.31</v>
      </c>
    </row>
    <row r="42" spans="1:5" x14ac:dyDescent="0.35">
      <c r="A42" t="s">
        <v>36</v>
      </c>
      <c r="B42">
        <v>18</v>
      </c>
      <c r="C42" s="12">
        <v>4809.3042585434423</v>
      </c>
      <c r="D42">
        <v>2.73</v>
      </c>
      <c r="E42">
        <v>108.02</v>
      </c>
    </row>
    <row r="43" spans="1:5" x14ac:dyDescent="0.35">
      <c r="A43" t="s">
        <v>36</v>
      </c>
      <c r="B43">
        <v>19</v>
      </c>
      <c r="C43" s="12">
        <v>5178.4754712040585</v>
      </c>
      <c r="D43">
        <v>2.86</v>
      </c>
      <c r="E43">
        <v>115.99</v>
      </c>
    </row>
    <row r="44" spans="1:5" x14ac:dyDescent="0.35">
      <c r="A44" t="s">
        <v>36</v>
      </c>
      <c r="B44">
        <v>20</v>
      </c>
      <c r="C44" s="12">
        <v>5191.0474822929855</v>
      </c>
      <c r="D44">
        <v>3</v>
      </c>
      <c r="E44">
        <v>118.96</v>
      </c>
    </row>
    <row r="45" spans="1:5" x14ac:dyDescent="0.35">
      <c r="C45" s="12"/>
    </row>
    <row r="46" spans="1:5" x14ac:dyDescent="0.35">
      <c r="A46" t="s">
        <v>37</v>
      </c>
      <c r="B46">
        <v>0</v>
      </c>
      <c r="C46" s="12">
        <v>280</v>
      </c>
      <c r="D46">
        <v>1</v>
      </c>
      <c r="E46">
        <v>44.7</v>
      </c>
    </row>
    <row r="47" spans="1:5" x14ac:dyDescent="0.35">
      <c r="A47" t="s">
        <v>37</v>
      </c>
      <c r="B47">
        <v>1</v>
      </c>
      <c r="C47" s="12">
        <v>665.38090380310928</v>
      </c>
      <c r="D47">
        <v>1.03</v>
      </c>
      <c r="E47">
        <v>48.53</v>
      </c>
    </row>
    <row r="48" spans="1:5" x14ac:dyDescent="0.35">
      <c r="A48" t="s">
        <v>37</v>
      </c>
      <c r="B48">
        <v>2</v>
      </c>
      <c r="C48" s="12">
        <v>1047.3921374786526</v>
      </c>
      <c r="D48">
        <v>1.08</v>
      </c>
      <c r="E48">
        <v>48.54</v>
      </c>
    </row>
    <row r="49" spans="1:5" x14ac:dyDescent="0.35">
      <c r="A49" t="s">
        <v>37</v>
      </c>
      <c r="B49">
        <v>3</v>
      </c>
      <c r="C49" s="12">
        <v>1155.3127281485336</v>
      </c>
      <c r="D49">
        <v>1.1399999999999999</v>
      </c>
      <c r="E49">
        <v>51.5</v>
      </c>
    </row>
    <row r="50" spans="1:5" x14ac:dyDescent="0.35">
      <c r="A50" t="s">
        <v>37</v>
      </c>
      <c r="B50">
        <v>4</v>
      </c>
      <c r="C50" s="12">
        <v>1162.9717712719919</v>
      </c>
      <c r="D50">
        <v>1.21</v>
      </c>
      <c r="E50">
        <v>60.5</v>
      </c>
    </row>
    <row r="51" spans="1:5" x14ac:dyDescent="0.35">
      <c r="A51" t="s">
        <v>37</v>
      </c>
      <c r="B51">
        <v>5</v>
      </c>
      <c r="C51" s="12">
        <v>1481.8912908592054</v>
      </c>
      <c r="D51">
        <v>1.29</v>
      </c>
      <c r="E51">
        <v>61.43</v>
      </c>
    </row>
    <row r="52" spans="1:5" x14ac:dyDescent="0.35">
      <c r="A52" t="s">
        <v>37</v>
      </c>
      <c r="B52">
        <v>6</v>
      </c>
      <c r="C52" s="12">
        <v>1782.4281676124549</v>
      </c>
      <c r="D52">
        <v>1.37</v>
      </c>
      <c r="E52">
        <v>67.88</v>
      </c>
    </row>
    <row r="53" spans="1:5" x14ac:dyDescent="0.35">
      <c r="A53" t="s">
        <v>37</v>
      </c>
      <c r="B53">
        <v>7</v>
      </c>
      <c r="C53" s="12">
        <v>1807.9397364993908</v>
      </c>
      <c r="D53">
        <v>1.46</v>
      </c>
      <c r="E53">
        <v>70.400000000000006</v>
      </c>
    </row>
    <row r="54" spans="1:5" x14ac:dyDescent="0.35">
      <c r="A54" t="s">
        <v>37</v>
      </c>
      <c r="B54">
        <v>8</v>
      </c>
      <c r="C54" s="12">
        <v>2204.1638087948904</v>
      </c>
      <c r="D54">
        <v>1.55</v>
      </c>
      <c r="E54">
        <v>70.63</v>
      </c>
    </row>
    <row r="55" spans="1:5" x14ac:dyDescent="0.35">
      <c r="A55" t="s">
        <v>37</v>
      </c>
      <c r="B55">
        <v>9</v>
      </c>
      <c r="C55" s="12">
        <v>2365.5958858007702</v>
      </c>
      <c r="D55">
        <v>1.65</v>
      </c>
      <c r="E55">
        <v>81.069999999999993</v>
      </c>
    </row>
    <row r="56" spans="1:5" x14ac:dyDescent="0.35">
      <c r="A56" t="s">
        <v>37</v>
      </c>
      <c r="B56">
        <v>10</v>
      </c>
      <c r="C56" s="12">
        <v>2411.1668666227515</v>
      </c>
      <c r="D56">
        <v>1.76</v>
      </c>
      <c r="E56">
        <v>82.76</v>
      </c>
    </row>
    <row r="57" spans="1:5" x14ac:dyDescent="0.35">
      <c r="A57" t="s">
        <v>37</v>
      </c>
      <c r="B57">
        <v>11</v>
      </c>
      <c r="C57" s="12">
        <v>2643.5036080484788</v>
      </c>
      <c r="D57">
        <v>1.87</v>
      </c>
      <c r="E57">
        <v>88.24</v>
      </c>
    </row>
    <row r="58" spans="1:5" x14ac:dyDescent="0.35">
      <c r="A58" t="s">
        <v>37</v>
      </c>
      <c r="B58">
        <v>12</v>
      </c>
      <c r="C58" s="12">
        <v>2880.7652403554007</v>
      </c>
      <c r="D58">
        <v>1.98</v>
      </c>
      <c r="E58">
        <v>89.32</v>
      </c>
    </row>
    <row r="59" spans="1:5" x14ac:dyDescent="0.35">
      <c r="A59" t="s">
        <v>37</v>
      </c>
      <c r="B59">
        <v>13</v>
      </c>
      <c r="C59" s="12">
        <v>3366.0629448192444</v>
      </c>
      <c r="D59">
        <v>2.09</v>
      </c>
      <c r="E59">
        <v>95</v>
      </c>
    </row>
    <row r="60" spans="1:5" x14ac:dyDescent="0.35">
      <c r="A60" t="s">
        <v>37</v>
      </c>
      <c r="B60">
        <v>14</v>
      </c>
      <c r="C60" s="12">
        <v>3786.2948036530256</v>
      </c>
      <c r="D60">
        <v>2.21</v>
      </c>
      <c r="E60">
        <v>104.68</v>
      </c>
    </row>
    <row r="61" spans="1:5" x14ac:dyDescent="0.35">
      <c r="A61" t="s">
        <v>37</v>
      </c>
      <c r="B61">
        <v>15</v>
      </c>
      <c r="C61" s="12">
        <v>4241.7278952983197</v>
      </c>
      <c r="D61">
        <v>2.34</v>
      </c>
      <c r="E61">
        <v>104.39</v>
      </c>
    </row>
    <row r="62" spans="1:5" x14ac:dyDescent="0.35">
      <c r="A62" t="s">
        <v>37</v>
      </c>
      <c r="B62">
        <v>16</v>
      </c>
      <c r="C62" s="12">
        <v>4428.9892712919336</v>
      </c>
      <c r="D62">
        <v>2.46</v>
      </c>
      <c r="E62">
        <v>109.65</v>
      </c>
    </row>
    <row r="63" spans="1:5" x14ac:dyDescent="0.35">
      <c r="A63" t="s">
        <v>37</v>
      </c>
      <c r="B63">
        <v>17</v>
      </c>
      <c r="C63" s="12">
        <v>4772.012665477293</v>
      </c>
      <c r="D63">
        <v>2.59</v>
      </c>
      <c r="E63">
        <v>108.19</v>
      </c>
    </row>
    <row r="64" spans="1:5" x14ac:dyDescent="0.35">
      <c r="A64" t="s">
        <v>37</v>
      </c>
      <c r="B64">
        <v>18</v>
      </c>
      <c r="C64" s="12">
        <v>4937.4614294217808</v>
      </c>
      <c r="D64">
        <v>2.73</v>
      </c>
      <c r="E64">
        <v>123.17</v>
      </c>
    </row>
    <row r="65" spans="1:5" x14ac:dyDescent="0.35">
      <c r="A65" t="s">
        <v>37</v>
      </c>
      <c r="B65">
        <v>19</v>
      </c>
      <c r="C65" s="12">
        <v>5298.0110443921085</v>
      </c>
      <c r="D65">
        <v>2.86</v>
      </c>
      <c r="E65">
        <v>125.53</v>
      </c>
    </row>
    <row r="66" spans="1:5" x14ac:dyDescent="0.35">
      <c r="A66" t="s">
        <v>37</v>
      </c>
      <c r="B66">
        <v>20</v>
      </c>
      <c r="C66" s="12">
        <v>5437.4712465187331</v>
      </c>
      <c r="D66">
        <v>3</v>
      </c>
      <c r="E66">
        <v>128.09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opLeftCell="A7" workbookViewId="0">
      <selection activeCell="E23" sqref="E23"/>
    </sheetView>
  </sheetViews>
  <sheetFormatPr defaultRowHeight="14.5" x14ac:dyDescent="0.35"/>
  <cols>
    <col min="1" max="1" width="21.08984375" bestFit="1" customWidth="1"/>
    <col min="2" max="2" width="4.81640625" bestFit="1" customWidth="1"/>
    <col min="3" max="3" width="20.54296875" bestFit="1" customWidth="1"/>
    <col min="4" max="4" width="22.1796875" bestFit="1" customWidth="1"/>
    <col min="5" max="5" width="17.36328125" bestFit="1" customWidth="1"/>
    <col min="6" max="6" width="11.08984375" bestFit="1" customWidth="1"/>
  </cols>
  <sheetData>
    <row r="1" spans="1:6" x14ac:dyDescent="0.35">
      <c r="A1" s="1" t="s">
        <v>40</v>
      </c>
      <c r="B1" s="1" t="s">
        <v>41</v>
      </c>
      <c r="C1" s="1" t="s">
        <v>60</v>
      </c>
      <c r="D1" s="1" t="s">
        <v>61</v>
      </c>
      <c r="E1" s="1" t="s">
        <v>42</v>
      </c>
      <c r="F1" s="3" t="s">
        <v>50</v>
      </c>
    </row>
    <row r="2" spans="1:6" x14ac:dyDescent="0.35">
      <c r="A2" t="s">
        <v>2</v>
      </c>
      <c r="B2">
        <v>2030</v>
      </c>
      <c r="C2" s="2">
        <v>10.993877411408899</v>
      </c>
      <c r="D2" s="2">
        <v>15.7</v>
      </c>
      <c r="E2" s="2">
        <v>82169.111118868605</v>
      </c>
    </row>
    <row r="3" spans="1:6" x14ac:dyDescent="0.35">
      <c r="A3" t="s">
        <v>2</v>
      </c>
      <c r="B3">
        <v>2035</v>
      </c>
      <c r="C3" s="2">
        <v>20.58</v>
      </c>
      <c r="D3" s="2">
        <v>30.46</v>
      </c>
      <c r="E3" s="2">
        <v>125008.78</v>
      </c>
      <c r="F3" s="4">
        <f>(E3-E2)/E2</f>
        <v>0.5213597700863295</v>
      </c>
    </row>
    <row r="4" spans="1:6" x14ac:dyDescent="0.35">
      <c r="A4" t="s">
        <v>2</v>
      </c>
      <c r="B4">
        <v>2040</v>
      </c>
      <c r="C4" s="2">
        <v>30.17</v>
      </c>
      <c r="D4" s="2">
        <v>40.159999999999997</v>
      </c>
      <c r="E4" s="2">
        <v>156412.75940561501</v>
      </c>
      <c r="F4" s="4">
        <f>(E4-E3)/E3</f>
        <v>0.25121418996021733</v>
      </c>
    </row>
    <row r="5" spans="1:6" x14ac:dyDescent="0.35">
      <c r="A5" t="s">
        <v>62</v>
      </c>
      <c r="B5">
        <v>2030</v>
      </c>
      <c r="C5" s="2">
        <v>1.463565351487399</v>
      </c>
      <c r="D5" s="2">
        <v>1.5325696239104161</v>
      </c>
      <c r="E5" s="2">
        <v>17305.226462107999</v>
      </c>
      <c r="F5" s="4"/>
    </row>
    <row r="6" spans="1:6" x14ac:dyDescent="0.35">
      <c r="A6" t="s">
        <v>62</v>
      </c>
      <c r="B6">
        <v>2035</v>
      </c>
      <c r="C6" s="2">
        <v>1.503250719454029</v>
      </c>
      <c r="D6" s="2">
        <v>1.5210207984951161</v>
      </c>
      <c r="E6" s="2">
        <v>28113.227427300299</v>
      </c>
      <c r="F6" s="4">
        <f t="shared" ref="F6:F67" si="0">(E6-E5)/E5</f>
        <v>0.62455125848007798</v>
      </c>
    </row>
    <row r="7" spans="1:6" x14ac:dyDescent="0.35">
      <c r="A7" t="s">
        <v>62</v>
      </c>
      <c r="B7">
        <v>2040</v>
      </c>
      <c r="C7" s="2">
        <v>1.544012177688201</v>
      </c>
      <c r="D7" s="2">
        <v>1.706637510061765</v>
      </c>
      <c r="E7" s="2">
        <v>38938.72903842455</v>
      </c>
      <c r="F7" s="4">
        <f t="shared" si="0"/>
        <v>0.38506790581474765</v>
      </c>
    </row>
    <row r="8" spans="1:6" x14ac:dyDescent="0.35">
      <c r="A8" t="s">
        <v>4</v>
      </c>
      <c r="B8">
        <v>2030</v>
      </c>
      <c r="C8" s="2">
        <v>17.004312569068329</v>
      </c>
      <c r="D8" s="2">
        <v>20.9</v>
      </c>
      <c r="E8" s="2">
        <v>53301.498598384598</v>
      </c>
      <c r="F8" s="4"/>
    </row>
    <row r="9" spans="1:6" x14ac:dyDescent="0.35">
      <c r="A9" t="s">
        <v>4</v>
      </c>
      <c r="B9">
        <v>2035</v>
      </c>
      <c r="C9" s="2">
        <v>18.279628484663391</v>
      </c>
      <c r="D9" s="2">
        <v>28.4</v>
      </c>
      <c r="E9" s="2">
        <v>69902.104360697806</v>
      </c>
      <c r="F9" s="4">
        <f t="shared" si="0"/>
        <v>0.31144726131239242</v>
      </c>
    </row>
    <row r="10" spans="1:6" x14ac:dyDescent="0.35">
      <c r="A10" t="s">
        <v>4</v>
      </c>
      <c r="B10">
        <v>2040</v>
      </c>
      <c r="C10" s="2">
        <v>19.650592529400029</v>
      </c>
      <c r="D10" s="2">
        <v>31.7</v>
      </c>
      <c r="E10" s="2">
        <v>86612.657506675401</v>
      </c>
      <c r="F10" s="4">
        <f t="shared" si="0"/>
        <v>0.23905651051290869</v>
      </c>
    </row>
    <row r="11" spans="1:6" x14ac:dyDescent="0.35">
      <c r="A11" t="s">
        <v>5</v>
      </c>
      <c r="B11">
        <v>2030</v>
      </c>
      <c r="C11" s="2">
        <v>1.5252689506181301</v>
      </c>
      <c r="D11" s="2">
        <v>1.4816691997985121</v>
      </c>
      <c r="E11" s="2">
        <v>16062.980702514589</v>
      </c>
      <c r="F11" s="4"/>
    </row>
    <row r="12" spans="1:6" x14ac:dyDescent="0.35">
      <c r="A12" t="s">
        <v>5</v>
      </c>
      <c r="B12">
        <v>2035</v>
      </c>
      <c r="C12" s="2">
        <v>1.652816144512598</v>
      </c>
      <c r="D12" s="2">
        <v>1.5891510542107721</v>
      </c>
      <c r="E12" s="2">
        <v>16537.933253740299</v>
      </c>
      <c r="F12" s="4">
        <f t="shared" si="0"/>
        <v>2.9568145540469826E-2</v>
      </c>
    </row>
    <row r="13" spans="1:6" x14ac:dyDescent="0.35">
      <c r="A13" t="s">
        <v>5</v>
      </c>
      <c r="B13">
        <v>2040</v>
      </c>
      <c r="C13" s="2">
        <v>1.791029186330974</v>
      </c>
      <c r="D13" s="2">
        <v>1.646246390769138</v>
      </c>
      <c r="E13" s="2">
        <v>17026.92927112546</v>
      </c>
      <c r="F13" s="4">
        <f t="shared" si="0"/>
        <v>2.9568145540469375E-2</v>
      </c>
    </row>
    <row r="14" spans="1:6" x14ac:dyDescent="0.35">
      <c r="A14" t="s">
        <v>6</v>
      </c>
      <c r="B14">
        <v>2030</v>
      </c>
      <c r="C14" s="2">
        <v>0.72592168275462765</v>
      </c>
      <c r="D14" s="2">
        <v>0.75210751333082182</v>
      </c>
      <c r="E14" s="2">
        <v>6676.4022798451306</v>
      </c>
      <c r="F14" s="4"/>
    </row>
    <row r="15" spans="1:6" x14ac:dyDescent="0.35">
      <c r="A15" t="s">
        <v>6</v>
      </c>
      <c r="B15">
        <v>2035</v>
      </c>
      <c r="C15" s="2">
        <v>0.75561494029006093</v>
      </c>
      <c r="D15" s="2">
        <v>0.73867516566535296</v>
      </c>
      <c r="E15" s="2">
        <v>6994.9414878942907</v>
      </c>
      <c r="F15" s="4">
        <f t="shared" si="0"/>
        <v>4.7711206529716353E-2</v>
      </c>
    </row>
    <row r="16" spans="1:6" x14ac:dyDescent="0.35">
      <c r="A16" t="s">
        <v>6</v>
      </c>
      <c r="B16">
        <v>2040</v>
      </c>
      <c r="C16" s="2">
        <v>0.78652277725466857</v>
      </c>
      <c r="D16" s="2">
        <v>0.82788944560603273</v>
      </c>
      <c r="E16" s="2">
        <v>7328.678585886496</v>
      </c>
      <c r="F16" s="4">
        <f t="shared" si="0"/>
        <v>4.7711206529716256E-2</v>
      </c>
    </row>
    <row r="17" spans="1:6" x14ac:dyDescent="0.35">
      <c r="A17" t="s">
        <v>63</v>
      </c>
      <c r="B17">
        <v>2030</v>
      </c>
      <c r="C17" s="2">
        <v>58.080077101825403</v>
      </c>
      <c r="D17" s="2">
        <v>62.45</v>
      </c>
      <c r="E17" s="2">
        <v>12128.92230938894</v>
      </c>
      <c r="F17" s="4"/>
    </row>
    <row r="18" spans="1:6" x14ac:dyDescent="0.35">
      <c r="A18" t="s">
        <v>63</v>
      </c>
      <c r="B18">
        <v>2035</v>
      </c>
      <c r="C18" s="2">
        <v>61.018706380575701</v>
      </c>
      <c r="D18" s="2">
        <v>74.290000000000006</v>
      </c>
      <c r="E18" s="2">
        <v>12992.066992146871</v>
      </c>
      <c r="F18" s="4">
        <f t="shared" si="0"/>
        <v>7.1164169473637004E-2</v>
      </c>
    </row>
    <row r="19" spans="1:6" x14ac:dyDescent="0.35">
      <c r="A19" t="s">
        <v>63</v>
      </c>
      <c r="B19">
        <v>2040</v>
      </c>
      <c r="C19" s="2">
        <v>64.1060190369803</v>
      </c>
      <c r="D19" s="2">
        <v>79.081650670656003</v>
      </c>
      <c r="E19" s="2">
        <v>13916.63664938884</v>
      </c>
      <c r="F19" s="4">
        <f t="shared" si="0"/>
        <v>7.1164169473635769E-2</v>
      </c>
    </row>
    <row r="20" spans="1:6" x14ac:dyDescent="0.35">
      <c r="A20" t="s">
        <v>8</v>
      </c>
      <c r="B20">
        <v>2030</v>
      </c>
      <c r="C20" s="2">
        <v>1.819706973856883</v>
      </c>
      <c r="D20" s="2">
        <v>2.7217959830616101</v>
      </c>
      <c r="E20" s="2">
        <v>188655.84174405399</v>
      </c>
      <c r="F20" s="4"/>
    </row>
    <row r="21" spans="1:6" x14ac:dyDescent="0.35">
      <c r="A21" t="s">
        <v>8</v>
      </c>
      <c r="B21">
        <v>2035</v>
      </c>
      <c r="C21" s="2">
        <v>1.9119047877605539</v>
      </c>
      <c r="D21" s="2">
        <v>2.69363954877385</v>
      </c>
      <c r="E21" s="2">
        <v>219030.74346234501</v>
      </c>
      <c r="F21" s="4">
        <f t="shared" si="0"/>
        <v>0.16100695020883637</v>
      </c>
    </row>
    <row r="22" spans="1:6" x14ac:dyDescent="0.35">
      <c r="A22" t="s">
        <v>8</v>
      </c>
      <c r="B22">
        <v>2040</v>
      </c>
      <c r="C22" s="2">
        <v>2.008773923481824</v>
      </c>
      <c r="D22" s="2">
        <v>3.25125234522055</v>
      </c>
      <c r="E22" s="2">
        <v>259413.179083439</v>
      </c>
      <c r="F22" s="4">
        <f t="shared" si="0"/>
        <v>0.18436880130499303</v>
      </c>
    </row>
    <row r="23" spans="1:6" x14ac:dyDescent="0.35">
      <c r="A23" t="s">
        <v>9</v>
      </c>
      <c r="B23">
        <v>2030</v>
      </c>
      <c r="C23" s="2">
        <v>1.8236778915522851</v>
      </c>
      <c r="D23" s="2">
        <v>1.6581548873767149</v>
      </c>
      <c r="E23" s="2">
        <v>25130.254026212559</v>
      </c>
      <c r="F23" s="4"/>
    </row>
    <row r="24" spans="1:6" x14ac:dyDescent="0.35">
      <c r="A24" t="s">
        <v>9</v>
      </c>
      <c r="B24">
        <v>2035</v>
      </c>
      <c r="C24" s="2">
        <v>2.0109196536782208</v>
      </c>
      <c r="D24" s="2">
        <v>1.959820761442906</v>
      </c>
      <c r="E24" s="2">
        <v>26540.478989320429</v>
      </c>
      <c r="F24" s="4">
        <f t="shared" si="0"/>
        <v>5.611662188678674E-2</v>
      </c>
    </row>
    <row r="25" spans="1:6" x14ac:dyDescent="0.35">
      <c r="A25" t="s">
        <v>9</v>
      </c>
      <c r="B25">
        <v>2040</v>
      </c>
      <c r="C25" s="2">
        <v>2.2173860155245522</v>
      </c>
      <c r="D25" s="2">
        <v>2.2899916064472161</v>
      </c>
      <c r="E25" s="2">
        <v>28029.841013458339</v>
      </c>
      <c r="F25" s="4">
        <f t="shared" si="0"/>
        <v>5.6116621886787038E-2</v>
      </c>
    </row>
    <row r="26" spans="1:6" x14ac:dyDescent="0.35">
      <c r="A26" t="s">
        <v>10</v>
      </c>
      <c r="B26">
        <v>2030</v>
      </c>
      <c r="C26" s="2">
        <v>0.93239625544239291</v>
      </c>
      <c r="D26" s="2">
        <v>0.95798165837860405</v>
      </c>
      <c r="E26" s="2">
        <v>40549.529645079521</v>
      </c>
      <c r="F26" s="4"/>
    </row>
    <row r="27" spans="1:6" x14ac:dyDescent="0.35">
      <c r="A27" t="s">
        <v>10</v>
      </c>
      <c r="B27">
        <v>2035</v>
      </c>
      <c r="C27" s="2">
        <v>1.0131154966295099</v>
      </c>
      <c r="D27" s="2">
        <v>1.0920339144889799</v>
      </c>
      <c r="E27" s="2">
        <v>43231.472914778831</v>
      </c>
      <c r="F27" s="4">
        <f t="shared" si="0"/>
        <v>6.6139935362351368E-2</v>
      </c>
    </row>
    <row r="28" spans="1:6" x14ac:dyDescent="0.35">
      <c r="A28" t="s">
        <v>10</v>
      </c>
      <c r="B28">
        <v>2040</v>
      </c>
      <c r="C28" s="2">
        <v>1.30082274946918</v>
      </c>
      <c r="D28" s="2">
        <v>1.9782772976234499</v>
      </c>
      <c r="E28" s="2">
        <v>46090.799738981543</v>
      </c>
      <c r="F28" s="4">
        <f t="shared" si="0"/>
        <v>6.6139935362351271E-2</v>
      </c>
    </row>
    <row r="29" spans="1:6" x14ac:dyDescent="0.35">
      <c r="A29" t="s">
        <v>54</v>
      </c>
      <c r="B29">
        <v>2030</v>
      </c>
      <c r="C29" s="2">
        <v>2.0959877852963009</v>
      </c>
      <c r="D29" s="2">
        <v>2.1605190073216671</v>
      </c>
      <c r="E29" s="2">
        <v>14.155206465899999</v>
      </c>
      <c r="F29" s="4"/>
    </row>
    <row r="30" spans="1:6" x14ac:dyDescent="0.35">
      <c r="A30" t="s">
        <v>54</v>
      </c>
      <c r="B30">
        <v>2035</v>
      </c>
      <c r="C30" s="2">
        <v>2.311968300755276</v>
      </c>
      <c r="D30" s="2">
        <v>2.2433157768059209</v>
      </c>
      <c r="E30" s="2">
        <v>14.638342097000001</v>
      </c>
      <c r="F30" s="4">
        <f t="shared" si="0"/>
        <v>3.4131302306602093E-2</v>
      </c>
    </row>
    <row r="31" spans="1:6" x14ac:dyDescent="0.35">
      <c r="A31" t="s">
        <v>54</v>
      </c>
      <c r="B31">
        <v>2040</v>
      </c>
      <c r="C31" s="2">
        <v>2.550204472179979</v>
      </c>
      <c r="D31" s="2">
        <v>2.2281045005826519</v>
      </c>
      <c r="E31" s="2">
        <v>15.941985089599999</v>
      </c>
      <c r="F31" s="4">
        <f t="shared" si="0"/>
        <v>8.9056737707145728E-2</v>
      </c>
    </row>
    <row r="32" spans="1:6" x14ac:dyDescent="0.35">
      <c r="A32" t="s">
        <v>55</v>
      </c>
      <c r="B32">
        <v>2030</v>
      </c>
      <c r="C32" s="2">
        <v>1.159199631851364</v>
      </c>
      <c r="D32" s="2">
        <v>1.16588048992663</v>
      </c>
      <c r="E32" s="2">
        <v>1.4848853162</v>
      </c>
      <c r="F32" s="4"/>
    </row>
    <row r="33" spans="1:6" x14ac:dyDescent="0.35">
      <c r="A33" t="s">
        <v>55</v>
      </c>
      <c r="B33">
        <v>2035</v>
      </c>
      <c r="C33" s="2">
        <v>1.232289804884739</v>
      </c>
      <c r="D33" s="2">
        <v>1.2209669737985049</v>
      </c>
      <c r="E33" s="2">
        <v>1.5953434846000001</v>
      </c>
      <c r="F33" s="4">
        <f t="shared" si="0"/>
        <v>7.4388349857668359E-2</v>
      </c>
    </row>
    <row r="34" spans="1:6" x14ac:dyDescent="0.35">
      <c r="A34" t="s">
        <v>55</v>
      </c>
      <c r="B34">
        <v>2040</v>
      </c>
      <c r="C34" s="2">
        <v>1.3099884795491199</v>
      </c>
      <c r="D34" s="2">
        <v>1.2399281577774139</v>
      </c>
      <c r="E34" s="2">
        <v>1.6503019670700001</v>
      </c>
      <c r="F34" s="4">
        <f t="shared" si="0"/>
        <v>3.4449310133221708E-2</v>
      </c>
    </row>
    <row r="35" spans="1:6" x14ac:dyDescent="0.35">
      <c r="A35" t="s">
        <v>13</v>
      </c>
      <c r="B35">
        <v>2030</v>
      </c>
      <c r="C35" s="2">
        <v>1.8060323190888961</v>
      </c>
      <c r="D35" s="2">
        <v>1.6861322785678481</v>
      </c>
      <c r="E35" s="2">
        <v>31763.37401294849</v>
      </c>
      <c r="F35" s="4"/>
    </row>
    <row r="36" spans="1:6" x14ac:dyDescent="0.35">
      <c r="A36" t="s">
        <v>13</v>
      </c>
      <c r="B36">
        <v>2035</v>
      </c>
      <c r="C36" s="2">
        <v>1.910547635914587</v>
      </c>
      <c r="D36" s="2">
        <v>1.7322975683476931</v>
      </c>
      <c r="E36" s="2">
        <v>33666.348581650571</v>
      </c>
      <c r="F36" s="4">
        <f t="shared" si="0"/>
        <v>5.9910970664713507E-2</v>
      </c>
    </row>
    <row r="37" spans="1:6" x14ac:dyDescent="0.35">
      <c r="A37" t="s">
        <v>13</v>
      </c>
      <c r="B37">
        <v>2040</v>
      </c>
      <c r="C37" s="2">
        <v>2.021111267233723</v>
      </c>
      <c r="D37" s="2">
        <v>1.951416694347647</v>
      </c>
      <c r="E37" s="2">
        <v>35683.332203913851</v>
      </c>
      <c r="F37" s="4">
        <f t="shared" si="0"/>
        <v>5.991097066471332E-2</v>
      </c>
    </row>
    <row r="38" spans="1:6" x14ac:dyDescent="0.35">
      <c r="A38" t="s">
        <v>51</v>
      </c>
      <c r="B38">
        <v>2030</v>
      </c>
      <c r="C38" s="2">
        <v>1.484910215527891</v>
      </c>
      <c r="D38" s="2">
        <v>1.392808710746702</v>
      </c>
      <c r="E38" s="2">
        <v>2311.4962658252998</v>
      </c>
      <c r="F38" s="4"/>
    </row>
    <row r="39" spans="1:6" x14ac:dyDescent="0.35">
      <c r="A39" t="s">
        <v>51</v>
      </c>
      <c r="B39">
        <v>2035</v>
      </c>
      <c r="C39" s="2">
        <v>1.582455796486629</v>
      </c>
      <c r="D39" s="2">
        <v>1.734310287466825</v>
      </c>
      <c r="E39" s="2">
        <v>4257.3402051843004</v>
      </c>
      <c r="F39" s="4">
        <f t="shared" si="0"/>
        <v>0.84181141372696699</v>
      </c>
    </row>
    <row r="40" spans="1:6" x14ac:dyDescent="0.35">
      <c r="A40" t="s">
        <v>51</v>
      </c>
      <c r="B40">
        <v>2040</v>
      </c>
      <c r="C40" s="2">
        <v>1.6864092668012871</v>
      </c>
      <c r="D40" s="2">
        <v>1.7740623666252791</v>
      </c>
      <c r="E40" s="2">
        <v>7453.3859144561002</v>
      </c>
      <c r="F40" s="4">
        <f t="shared" si="0"/>
        <v>0.75071419131124917</v>
      </c>
    </row>
    <row r="41" spans="1:6" x14ac:dyDescent="0.35">
      <c r="A41" t="s">
        <v>52</v>
      </c>
      <c r="B41">
        <v>2030</v>
      </c>
      <c r="C41" s="2">
        <v>1.7804959592031759</v>
      </c>
      <c r="D41" s="2">
        <v>1.7198360852636589</v>
      </c>
      <c r="E41" s="2">
        <v>141511.83014637799</v>
      </c>
      <c r="F41" s="4"/>
    </row>
    <row r="42" spans="1:6" x14ac:dyDescent="0.35">
      <c r="A42" t="s">
        <v>52</v>
      </c>
      <c r="B42">
        <v>2035</v>
      </c>
      <c r="C42" s="2">
        <v>1.96916181765323</v>
      </c>
      <c r="D42" s="2">
        <v>1.8995303725453041</v>
      </c>
      <c r="E42" s="2">
        <v>153475.59718280099</v>
      </c>
      <c r="F42" s="4">
        <f t="shared" si="0"/>
        <v>8.4542522162619441E-2</v>
      </c>
    </row>
    <row r="43" spans="1:6" x14ac:dyDescent="0.35">
      <c r="A43" t="s">
        <v>52</v>
      </c>
      <c r="B43">
        <v>2040</v>
      </c>
      <c r="C43" s="2">
        <v>2.177819187996759</v>
      </c>
      <c r="D43" s="2">
        <v>2.015051309653118</v>
      </c>
      <c r="E43" s="2">
        <v>195561.743051408</v>
      </c>
      <c r="F43" s="4">
        <f t="shared" si="0"/>
        <v>0.27422044052045125</v>
      </c>
    </row>
    <row r="44" spans="1:6" x14ac:dyDescent="0.35">
      <c r="A44" t="s">
        <v>53</v>
      </c>
      <c r="B44">
        <v>2030</v>
      </c>
      <c r="C44" s="2">
        <v>1.077626769467434</v>
      </c>
      <c r="D44" s="2">
        <v>1.015653850208996</v>
      </c>
      <c r="E44" s="2">
        <v>60290.4099143282</v>
      </c>
      <c r="F44" s="4"/>
    </row>
    <row r="45" spans="1:6" x14ac:dyDescent="0.35">
      <c r="A45" t="s">
        <v>53</v>
      </c>
      <c r="B45">
        <v>2035</v>
      </c>
      <c r="C45" s="2">
        <v>1.142974417824707</v>
      </c>
      <c r="D45" s="2">
        <v>1.1152132341608849</v>
      </c>
      <c r="E45" s="2">
        <v>67505.910203974199</v>
      </c>
      <c r="F45" s="4">
        <f t="shared" si="0"/>
        <v>0.11967907167821749</v>
      </c>
    </row>
    <row r="46" spans="1:6" x14ac:dyDescent="0.35">
      <c r="A46" t="s">
        <v>53</v>
      </c>
      <c r="B46">
        <v>2040</v>
      </c>
      <c r="C46" s="2">
        <v>1.212284769472969</v>
      </c>
      <c r="D46" s="2">
        <v>1.256495404153982</v>
      </c>
      <c r="E46" s="2">
        <v>74843.237041025801</v>
      </c>
      <c r="F46" s="4">
        <f t="shared" si="0"/>
        <v>0.10869162144294203</v>
      </c>
    </row>
    <row r="47" spans="1:6" x14ac:dyDescent="0.35">
      <c r="A47" t="s">
        <v>17</v>
      </c>
      <c r="B47">
        <v>2030</v>
      </c>
      <c r="C47" s="2">
        <v>0.90556126054216535</v>
      </c>
      <c r="D47" s="2">
        <v>0.9398275521507945</v>
      </c>
      <c r="E47" s="2">
        <v>21498.703058979019</v>
      </c>
      <c r="F47" s="4"/>
    </row>
    <row r="48" spans="1:6" x14ac:dyDescent="0.35">
      <c r="A48" t="s">
        <v>17</v>
      </c>
      <c r="B48">
        <v>2035</v>
      </c>
      <c r="C48" s="2">
        <v>0.96977381667976781</v>
      </c>
      <c r="D48" s="2">
        <v>1.0197797006673801</v>
      </c>
      <c r="E48" s="2">
        <v>23185.99424691121</v>
      </c>
      <c r="F48" s="4">
        <f t="shared" si="0"/>
        <v>7.8483394244914087E-2</v>
      </c>
    </row>
    <row r="49" spans="1:6" x14ac:dyDescent="0.35">
      <c r="A49" t="s">
        <v>17</v>
      </c>
      <c r="B49">
        <v>2040</v>
      </c>
      <c r="C49" s="2">
        <v>1.03853962895297</v>
      </c>
      <c r="D49" s="2">
        <v>1.14134585356838</v>
      </c>
      <c r="E49" s="2">
        <v>25005.709774351861</v>
      </c>
      <c r="F49" s="4">
        <f t="shared" si="0"/>
        <v>7.8483394244914434E-2</v>
      </c>
    </row>
    <row r="50" spans="1:6" x14ac:dyDescent="0.35">
      <c r="A50" t="s">
        <v>18</v>
      </c>
      <c r="B50">
        <v>2030</v>
      </c>
      <c r="C50" s="2">
        <v>1.1729192296757129</v>
      </c>
      <c r="D50" s="2">
        <v>1.085402770215133</v>
      </c>
      <c r="E50" s="2">
        <v>18035.230343198171</v>
      </c>
      <c r="F50" s="4"/>
    </row>
    <row r="51" spans="1:6" x14ac:dyDescent="0.35">
      <c r="A51" t="s">
        <v>18</v>
      </c>
      <c r="B51">
        <v>2035</v>
      </c>
      <c r="C51" s="2">
        <v>1.2265242163406289</v>
      </c>
      <c r="D51" s="2">
        <v>1.25806984419192</v>
      </c>
      <c r="E51" s="2">
        <v>18652.601129006351</v>
      </c>
      <c r="F51" s="4">
        <f t="shared" si="0"/>
        <v>3.4231377923100152E-2</v>
      </c>
    </row>
    <row r="52" spans="1:6" x14ac:dyDescent="0.35">
      <c r="A52" t="s">
        <v>18</v>
      </c>
      <c r="B52">
        <v>2040</v>
      </c>
      <c r="C52" s="2">
        <v>1.282579068710398</v>
      </c>
      <c r="D52" s="2">
        <v>1.2455335429334491</v>
      </c>
      <c r="E52" s="2">
        <v>19291.105367502219</v>
      </c>
      <c r="F52" s="4">
        <f t="shared" si="0"/>
        <v>3.4231377923100569E-2</v>
      </c>
    </row>
    <row r="53" spans="1:6" x14ac:dyDescent="0.35">
      <c r="A53" t="s">
        <v>56</v>
      </c>
      <c r="B53">
        <v>2030</v>
      </c>
      <c r="C53" s="2">
        <v>1.5812035868982179</v>
      </c>
      <c r="D53" s="2">
        <v>1.5370591679640031</v>
      </c>
      <c r="E53" s="2">
        <v>35.491092302399998</v>
      </c>
      <c r="F53" s="4"/>
    </row>
    <row r="54" spans="1:6" x14ac:dyDescent="0.35">
      <c r="A54" t="s">
        <v>56</v>
      </c>
      <c r="B54">
        <v>2035</v>
      </c>
      <c r="C54" s="2">
        <v>1.665192722995732</v>
      </c>
      <c r="D54" s="2">
        <v>1.488540857987978</v>
      </c>
      <c r="E54" s="2">
        <v>38.517177128</v>
      </c>
      <c r="F54" s="4">
        <f t="shared" si="0"/>
        <v>8.5263220410811927E-2</v>
      </c>
    </row>
    <row r="55" spans="1:6" x14ac:dyDescent="0.35">
      <c r="A55" t="s">
        <v>56</v>
      </c>
      <c r="B55">
        <v>2040</v>
      </c>
      <c r="C55" s="2">
        <v>1.7536431283699261</v>
      </c>
      <c r="D55" s="2">
        <v>1.6967246449490161</v>
      </c>
      <c r="E55" s="2">
        <v>40.486010571100003</v>
      </c>
      <c r="F55" s="4">
        <f t="shared" si="0"/>
        <v>5.111572524012313E-2</v>
      </c>
    </row>
    <row r="56" spans="1:6" x14ac:dyDescent="0.35">
      <c r="A56" t="s">
        <v>20</v>
      </c>
      <c r="B56">
        <v>2030</v>
      </c>
      <c r="C56" s="2">
        <v>1.925128920074098</v>
      </c>
      <c r="D56" s="2">
        <v>1.90902520154245</v>
      </c>
      <c r="E56" s="2">
        <v>20448.91027231095</v>
      </c>
      <c r="F56" s="4"/>
    </row>
    <row r="57" spans="1:6" x14ac:dyDescent="0.35">
      <c r="A57" t="s">
        <v>20</v>
      </c>
      <c r="B57">
        <v>2035</v>
      </c>
      <c r="C57" s="2">
        <v>1.9899603717446599</v>
      </c>
      <c r="D57" s="2">
        <v>1.9016155486958679</v>
      </c>
      <c r="E57" s="2">
        <v>21648.54424082697</v>
      </c>
      <c r="F57" s="4">
        <f t="shared" si="0"/>
        <v>5.8664933854220898E-2</v>
      </c>
    </row>
    <row r="58" spans="1:6" x14ac:dyDescent="0.35">
      <c r="A58" t="s">
        <v>20</v>
      </c>
      <c r="B58">
        <v>2040</v>
      </c>
      <c r="C58" s="2">
        <v>2.056975114664906</v>
      </c>
      <c r="D58" s="2">
        <v>2.301377552889023</v>
      </c>
      <c r="E58" s="2">
        <v>22918.554656755259</v>
      </c>
      <c r="F58" s="4">
        <f t="shared" si="0"/>
        <v>5.8664933854220905E-2</v>
      </c>
    </row>
    <row r="59" spans="1:6" x14ac:dyDescent="0.35">
      <c r="A59" t="s">
        <v>21</v>
      </c>
      <c r="B59">
        <v>2030</v>
      </c>
      <c r="C59" s="2">
        <v>1.6567956570704541</v>
      </c>
      <c r="D59" s="2">
        <v>1.535879236813859</v>
      </c>
      <c r="E59" s="2">
        <v>39631.436985082997</v>
      </c>
      <c r="F59" s="4"/>
    </row>
    <row r="60" spans="1:6" x14ac:dyDescent="0.35">
      <c r="A60" t="s">
        <v>21</v>
      </c>
      <c r="B60">
        <v>2035</v>
      </c>
      <c r="C60" s="2">
        <v>1.757217885781126</v>
      </c>
      <c r="D60" s="2">
        <v>1.596000223516475</v>
      </c>
      <c r="E60" s="2">
        <v>42145.827806965288</v>
      </c>
      <c r="F60" s="4">
        <f t="shared" si="0"/>
        <v>6.3444351584543618E-2</v>
      </c>
    </row>
    <row r="61" spans="1:6" x14ac:dyDescent="0.35">
      <c r="A61" t="s">
        <v>21</v>
      </c>
      <c r="B61">
        <v>2040</v>
      </c>
      <c r="C61" s="2">
        <v>1.8637269387638089</v>
      </c>
      <c r="D61" s="2">
        <v>1.719419082981547</v>
      </c>
      <c r="E61" s="2">
        <v>44819.742524172041</v>
      </c>
      <c r="F61" s="4">
        <f t="shared" si="0"/>
        <v>6.3444351584543923E-2</v>
      </c>
    </row>
    <row r="62" spans="1:6" x14ac:dyDescent="0.35">
      <c r="A62" t="s">
        <v>22</v>
      </c>
      <c r="B62">
        <v>2030</v>
      </c>
      <c r="C62" s="2">
        <v>1.785023647661643</v>
      </c>
      <c r="D62" s="2">
        <v>1.7962106310614741</v>
      </c>
      <c r="E62" s="2">
        <v>25341.617964533591</v>
      </c>
      <c r="F62" s="4"/>
    </row>
    <row r="63" spans="1:6" x14ac:dyDescent="0.35">
      <c r="A63" t="s">
        <v>22</v>
      </c>
      <c r="B63">
        <v>2035</v>
      </c>
      <c r="C63" s="2">
        <v>1.846881389240866</v>
      </c>
      <c r="D63" s="2">
        <v>1.8684158136046081</v>
      </c>
      <c r="E63" s="2">
        <v>26888.439324231022</v>
      </c>
      <c r="F63" s="4">
        <f t="shared" si="0"/>
        <v>6.1038776681988392E-2</v>
      </c>
    </row>
    <row r="64" spans="1:6" x14ac:dyDescent="0.35">
      <c r="A64" t="s">
        <v>22</v>
      </c>
      <c r="B64">
        <v>2040</v>
      </c>
      <c r="C64" s="2">
        <v>1.9108827327820539</v>
      </c>
      <c r="D64" s="2">
        <v>1.7981482210562401</v>
      </c>
      <c r="E64" s="2">
        <v>28529.676767469951</v>
      </c>
      <c r="F64" s="4">
        <f t="shared" si="0"/>
        <v>6.1038776681988302E-2</v>
      </c>
    </row>
    <row r="65" spans="1:6" x14ac:dyDescent="0.35">
      <c r="A65" t="s">
        <v>23</v>
      </c>
      <c r="B65">
        <v>2030</v>
      </c>
      <c r="C65" s="2">
        <v>1.879061781803542</v>
      </c>
      <c r="D65" s="2">
        <v>2.0590207790100998</v>
      </c>
      <c r="E65" s="2">
        <v>25775.213187620211</v>
      </c>
      <c r="F65" s="4"/>
    </row>
    <row r="66" spans="1:6" x14ac:dyDescent="0.35">
      <c r="A66" t="s">
        <v>23</v>
      </c>
      <c r="B66">
        <v>2035</v>
      </c>
      <c r="C66" s="2">
        <v>1.9930318625783059</v>
      </c>
      <c r="D66" s="2">
        <v>1.8625223165927389</v>
      </c>
      <c r="E66" s="2">
        <v>26952.932152665449</v>
      </c>
      <c r="F66" s="4">
        <f t="shared" si="0"/>
        <v>4.5691919460471991E-2</v>
      </c>
    </row>
    <row r="67" spans="1:6" x14ac:dyDescent="0.35">
      <c r="A67" t="s">
        <v>23</v>
      </c>
      <c r="B67">
        <v>2040</v>
      </c>
      <c r="C67" s="2">
        <v>2.1139145310271918</v>
      </c>
      <c r="D67" s="2">
        <v>2.0230474845547701</v>
      </c>
      <c r="E67" s="2">
        <v>28184.4633578086</v>
      </c>
      <c r="F67" s="4">
        <f t="shared" si="0"/>
        <v>4.5691919460471783E-2</v>
      </c>
    </row>
    <row r="68" spans="1:6" x14ac:dyDescent="0.35">
      <c r="A68" t="s">
        <v>24</v>
      </c>
      <c r="B68">
        <v>2030</v>
      </c>
      <c r="C68" s="2">
        <v>1.4633663003879449</v>
      </c>
      <c r="D68" s="2">
        <v>1.5175035670060559</v>
      </c>
      <c r="E68" s="2">
        <v>16522.513744438729</v>
      </c>
      <c r="F68" s="4"/>
    </row>
    <row r="69" spans="1:6" x14ac:dyDescent="0.35">
      <c r="A69" t="s">
        <v>24</v>
      </c>
      <c r="B69">
        <v>2035</v>
      </c>
      <c r="C69" s="2">
        <v>1.545698135284991</v>
      </c>
      <c r="D69" s="2">
        <v>1.5408434451107269</v>
      </c>
      <c r="E69" s="2">
        <v>17168.613031129891</v>
      </c>
      <c r="F69" s="4">
        <f t="shared" ref="F69:F91" si="1">(E69-E68)/E68</f>
        <v>3.9104176076635487E-2</v>
      </c>
    </row>
    <row r="70" spans="1:6" x14ac:dyDescent="0.35">
      <c r="A70" t="s">
        <v>24</v>
      </c>
      <c r="B70">
        <v>2040</v>
      </c>
      <c r="C70" s="2">
        <v>1.6326621193819471</v>
      </c>
      <c r="D70" s="2">
        <v>1.6838366810158369</v>
      </c>
      <c r="E70" s="2">
        <v>17839.977498090811</v>
      </c>
      <c r="F70" s="4">
        <f t="shared" si="1"/>
        <v>3.9104176076635397E-2</v>
      </c>
    </row>
    <row r="71" spans="1:6" x14ac:dyDescent="0.35">
      <c r="A71" t="s">
        <v>25</v>
      </c>
      <c r="B71">
        <v>2030</v>
      </c>
      <c r="C71" s="2">
        <v>1.853807102788986</v>
      </c>
      <c r="D71" s="2">
        <v>1.9081089454029061</v>
      </c>
      <c r="E71" s="2">
        <v>37110.296019736903</v>
      </c>
      <c r="F71" s="4"/>
    </row>
    <row r="72" spans="1:6" x14ac:dyDescent="0.35">
      <c r="A72" t="s">
        <v>25</v>
      </c>
      <c r="B72">
        <v>2035</v>
      </c>
      <c r="C72" s="2">
        <v>1.9690659921770599</v>
      </c>
      <c r="D72" s="2">
        <v>1.7931684246142201</v>
      </c>
      <c r="E72" s="2">
        <v>39914.942000431583</v>
      </c>
      <c r="F72" s="4">
        <f t="shared" si="1"/>
        <v>7.5575952808434765E-2</v>
      </c>
    </row>
    <row r="73" spans="1:6" x14ac:dyDescent="0.35">
      <c r="A73" t="s">
        <v>25</v>
      </c>
      <c r="B73">
        <v>2040</v>
      </c>
      <c r="C73" s="2">
        <v>2.0914910055717728</v>
      </c>
      <c r="D73" s="2">
        <v>2.0904341944315759</v>
      </c>
      <c r="E73" s="2">
        <v>42931.55177340762</v>
      </c>
      <c r="F73" s="4">
        <f t="shared" si="1"/>
        <v>7.5575952808434987E-2</v>
      </c>
    </row>
    <row r="74" spans="1:6" x14ac:dyDescent="0.35">
      <c r="A74" t="s">
        <v>26</v>
      </c>
      <c r="B74">
        <v>2030</v>
      </c>
      <c r="C74" s="2">
        <v>1.0613797550909361</v>
      </c>
      <c r="D74" s="2">
        <v>1.0210137008272171</v>
      </c>
      <c r="E74" s="2">
        <v>42069.030663023957</v>
      </c>
      <c r="F74" s="4"/>
    </row>
    <row r="75" spans="1:6" x14ac:dyDescent="0.35">
      <c r="A75" t="s">
        <v>26</v>
      </c>
      <c r="B75">
        <v>2035</v>
      </c>
      <c r="C75" s="2">
        <v>1.089473037477906</v>
      </c>
      <c r="D75" s="2">
        <v>1.2031274006099979</v>
      </c>
      <c r="E75" s="2">
        <v>44736.938605088719</v>
      </c>
      <c r="F75" s="4">
        <f t="shared" si="1"/>
        <v>6.3417385663931763E-2</v>
      </c>
    </row>
    <row r="76" spans="1:6" x14ac:dyDescent="0.35">
      <c r="A76" t="s">
        <v>26</v>
      </c>
      <c r="B76">
        <v>2040</v>
      </c>
      <c r="C76" s="2">
        <v>1.118309910941953</v>
      </c>
      <c r="D76" s="2">
        <v>1.2145141785512019</v>
      </c>
      <c r="E76" s="2">
        <v>47574.038294031263</v>
      </c>
      <c r="F76" s="4">
        <f t="shared" si="1"/>
        <v>6.3417385663931666E-2</v>
      </c>
    </row>
    <row r="77" spans="1:6" x14ac:dyDescent="0.35">
      <c r="A77" t="s">
        <v>27</v>
      </c>
      <c r="B77">
        <v>2030</v>
      </c>
      <c r="C77" s="2">
        <v>2.0198074358477731</v>
      </c>
      <c r="D77" s="2">
        <v>2.0576759625234549</v>
      </c>
      <c r="E77" s="2">
        <v>6075.5831044372981</v>
      </c>
      <c r="F77" s="4"/>
    </row>
    <row r="78" spans="1:6" x14ac:dyDescent="0.35">
      <c r="A78" t="s">
        <v>27</v>
      </c>
      <c r="B78">
        <v>2035</v>
      </c>
      <c r="C78" s="2">
        <v>2.1775645782627708</v>
      </c>
      <c r="D78" s="2">
        <v>2.1611840457504852</v>
      </c>
      <c r="E78" s="2">
        <v>6506.5954083019587</v>
      </c>
      <c r="F78" s="4">
        <f t="shared" si="1"/>
        <v>7.0941718096139791E-2</v>
      </c>
    </row>
    <row r="79" spans="1:6" x14ac:dyDescent="0.35">
      <c r="A79" t="s">
        <v>27</v>
      </c>
      <c r="B79">
        <v>2040</v>
      </c>
      <c r="C79" s="2">
        <v>2.3476433487405459</v>
      </c>
      <c r="D79" s="2">
        <v>2.117534516979418</v>
      </c>
      <c r="E79" s="2">
        <v>6968.1844655233544</v>
      </c>
      <c r="F79" s="4">
        <f t="shared" si="1"/>
        <v>7.0941718096139875E-2</v>
      </c>
    </row>
    <row r="80" spans="1:6" x14ac:dyDescent="0.35">
      <c r="A80" t="s">
        <v>28</v>
      </c>
      <c r="B80">
        <v>2030</v>
      </c>
      <c r="C80" s="2">
        <v>1.4328659453188259</v>
      </c>
      <c r="D80" s="2">
        <v>1.570019242357521</v>
      </c>
      <c r="E80" s="2">
        <v>29232.937553452772</v>
      </c>
      <c r="F80" s="4"/>
    </row>
    <row r="81" spans="1:6" x14ac:dyDescent="0.35">
      <c r="A81" t="s">
        <v>28</v>
      </c>
      <c r="B81">
        <v>2035</v>
      </c>
      <c r="C81" s="2">
        <v>1.5668558494508551</v>
      </c>
      <c r="D81" s="2">
        <v>1.6239821320514669</v>
      </c>
      <c r="E81" s="2">
        <v>31514.393987322019</v>
      </c>
      <c r="F81" s="4">
        <f t="shared" si="1"/>
        <v>7.8044036104738951E-2</v>
      </c>
    </row>
    <row r="82" spans="1:6" x14ac:dyDescent="0.35">
      <c r="A82" t="s">
        <v>28</v>
      </c>
      <c r="B82">
        <v>2040</v>
      </c>
      <c r="C82" s="2">
        <v>1.7133753935453411</v>
      </c>
      <c r="D82" s="2">
        <v>1.73146019067279</v>
      </c>
      <c r="E82" s="2">
        <v>33973.904489487562</v>
      </c>
      <c r="F82" s="4">
        <f t="shared" si="1"/>
        <v>7.804403610473945E-2</v>
      </c>
    </row>
    <row r="83" spans="1:6" x14ac:dyDescent="0.35">
      <c r="A83" t="s">
        <v>29</v>
      </c>
      <c r="B83">
        <v>2030</v>
      </c>
      <c r="C83" s="2">
        <v>1.2558975047859791</v>
      </c>
      <c r="D83" s="2">
        <v>1.300960324152423</v>
      </c>
      <c r="E83" s="2">
        <v>37107.98935710697</v>
      </c>
      <c r="F83" s="4"/>
    </row>
    <row r="84" spans="1:6" x14ac:dyDescent="0.35">
      <c r="A84" t="s">
        <v>29</v>
      </c>
      <c r="B84">
        <v>2035</v>
      </c>
      <c r="C84" s="2">
        <v>1.3154592475830409</v>
      </c>
      <c r="D84" s="2">
        <v>1.235992655577296</v>
      </c>
      <c r="E84" s="2">
        <v>38077.409742518008</v>
      </c>
      <c r="F84" s="4">
        <f t="shared" si="1"/>
        <v>2.6124303747149094E-2</v>
      </c>
    </row>
    <row r="85" spans="1:6" x14ac:dyDescent="0.35">
      <c r="A85" t="s">
        <v>29</v>
      </c>
      <c r="B85">
        <v>2040</v>
      </c>
      <c r="C85" s="2">
        <v>1.377845744145044</v>
      </c>
      <c r="D85" s="2">
        <v>1.3541404458069399</v>
      </c>
      <c r="E85" s="2">
        <v>39072.155560536201</v>
      </c>
      <c r="F85" s="4">
        <f t="shared" si="1"/>
        <v>2.6124303747149049E-2</v>
      </c>
    </row>
    <row r="86" spans="1:6" x14ac:dyDescent="0.35">
      <c r="A86" t="s">
        <v>30</v>
      </c>
      <c r="B86">
        <v>2030</v>
      </c>
      <c r="C86" s="2">
        <v>1.491988663935325</v>
      </c>
      <c r="D86" s="2">
        <v>1.522841845790047</v>
      </c>
      <c r="E86" s="2">
        <v>19918.738025123261</v>
      </c>
      <c r="F86" s="4"/>
    </row>
    <row r="87" spans="1:6" x14ac:dyDescent="0.35">
      <c r="A87" t="s">
        <v>30</v>
      </c>
      <c r="B87">
        <v>2035</v>
      </c>
      <c r="C87" s="2">
        <v>1.5836030330807911</v>
      </c>
      <c r="D87" s="2">
        <v>1.6375938969884301</v>
      </c>
      <c r="E87" s="2">
        <v>21441.66537255549</v>
      </c>
      <c r="F87" s="4">
        <f t="shared" si="1"/>
        <v>7.6457019792688638E-2</v>
      </c>
    </row>
    <row r="88" spans="1:6" x14ac:dyDescent="0.35">
      <c r="A88" t="s">
        <v>30</v>
      </c>
      <c r="B88">
        <v>2040</v>
      </c>
      <c r="C88" s="2">
        <v>1.68084290920014</v>
      </c>
      <c r="D88" s="2">
        <v>1.560904907602974</v>
      </c>
      <c r="E88" s="2">
        <v>23081.031206333158</v>
      </c>
      <c r="F88" s="4">
        <f t="shared" si="1"/>
        <v>7.6457019792688041E-2</v>
      </c>
    </row>
    <row r="89" spans="1:6" x14ac:dyDescent="0.35">
      <c r="A89" t="s">
        <v>31</v>
      </c>
      <c r="B89">
        <v>2030</v>
      </c>
      <c r="C89" s="2">
        <v>2.1290188282845648</v>
      </c>
      <c r="D89" s="2">
        <v>1.9925366639515789</v>
      </c>
      <c r="E89" s="2">
        <v>24545.575442595171</v>
      </c>
      <c r="F89" s="4"/>
    </row>
    <row r="90" spans="1:6" x14ac:dyDescent="0.35">
      <c r="A90" t="s">
        <v>31</v>
      </c>
      <c r="B90">
        <v>2035</v>
      </c>
      <c r="C90" s="2">
        <v>2.3506017787093851</v>
      </c>
      <c r="D90" s="2">
        <v>2.1686218917992042</v>
      </c>
      <c r="E90" s="2">
        <v>25656.375840924349</v>
      </c>
      <c r="F90" s="4">
        <f t="shared" si="1"/>
        <v>4.5254608144225883E-2</v>
      </c>
    </row>
    <row r="91" spans="1:6" x14ac:dyDescent="0.35">
      <c r="A91" t="s">
        <v>31</v>
      </c>
      <c r="B91">
        <v>2040</v>
      </c>
      <c r="C91" s="2">
        <v>2.5952465279622259</v>
      </c>
      <c r="D91" s="2">
        <v>2.6144561076743198</v>
      </c>
      <c r="E91" s="2">
        <v>26817.445076006348</v>
      </c>
      <c r="F91" s="4">
        <f t="shared" si="1"/>
        <v>4.5254608144225252E-2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selection activeCell="B15" sqref="B15"/>
    </sheetView>
  </sheetViews>
  <sheetFormatPr defaultRowHeight="14.5" x14ac:dyDescent="0.35"/>
  <cols>
    <col min="1" max="1" width="12" bestFit="1" customWidth="1"/>
    <col min="2" max="2" width="21.08984375" bestFit="1" customWidth="1"/>
    <col min="7" max="7" width="14" bestFit="1" customWidth="1"/>
    <col min="9" max="9" width="17.6328125" bestFit="1" customWidth="1"/>
  </cols>
  <sheetData>
    <row r="1" spans="1:7" x14ac:dyDescent="0.35">
      <c r="B1" t="s">
        <v>59</v>
      </c>
    </row>
    <row r="2" spans="1:7" x14ac:dyDescent="0.35">
      <c r="A2" s="1" t="s">
        <v>2</v>
      </c>
      <c r="B2" s="7">
        <v>5114</v>
      </c>
      <c r="F2" s="5"/>
      <c r="G2" s="5"/>
    </row>
    <row r="3" spans="1:7" x14ac:dyDescent="0.35">
      <c r="A3" s="1" t="s">
        <v>3</v>
      </c>
      <c r="B3" s="7">
        <v>3409</v>
      </c>
      <c r="F3" s="6"/>
      <c r="G3" s="7"/>
    </row>
    <row r="4" spans="1:7" x14ac:dyDescent="0.35">
      <c r="A4" s="1" t="s">
        <v>4</v>
      </c>
      <c r="B4" s="7">
        <v>16717</v>
      </c>
      <c r="F4" s="6"/>
      <c r="G4" s="7"/>
    </row>
    <row r="5" spans="1:7" x14ac:dyDescent="0.35">
      <c r="A5" s="1" t="s">
        <v>5</v>
      </c>
      <c r="B5" s="7">
        <v>4000</v>
      </c>
      <c r="F5" s="6"/>
      <c r="G5" s="7"/>
    </row>
    <row r="6" spans="1:7" x14ac:dyDescent="0.35">
      <c r="A6" s="1" t="s">
        <v>6</v>
      </c>
      <c r="B6" s="7">
        <v>3500</v>
      </c>
      <c r="F6" s="6"/>
      <c r="G6" s="7"/>
    </row>
    <row r="7" spans="1:7" x14ac:dyDescent="0.35">
      <c r="A7" s="1" t="s">
        <v>7</v>
      </c>
      <c r="B7" s="7">
        <v>4200</v>
      </c>
      <c r="F7" s="6"/>
      <c r="G7" s="7"/>
    </row>
    <row r="8" spans="1:7" x14ac:dyDescent="0.35">
      <c r="A8" s="1" t="s">
        <v>8</v>
      </c>
      <c r="B8" s="7">
        <v>191508</v>
      </c>
      <c r="F8" s="6"/>
      <c r="G8" s="7"/>
    </row>
    <row r="9" spans="1:7" x14ac:dyDescent="0.35">
      <c r="A9" s="1" t="s">
        <v>9</v>
      </c>
      <c r="B9" s="7">
        <v>2500</v>
      </c>
      <c r="F9" s="6"/>
      <c r="G9" s="7"/>
    </row>
    <row r="10" spans="1:7" x14ac:dyDescent="0.35">
      <c r="A10" s="1" t="s">
        <v>10</v>
      </c>
      <c r="B10" s="7">
        <v>2500</v>
      </c>
      <c r="F10" s="6"/>
      <c r="G10" s="7"/>
    </row>
    <row r="11" spans="1:7" x14ac:dyDescent="0.35">
      <c r="A11" s="1" t="s">
        <v>11</v>
      </c>
      <c r="B11" s="7">
        <v>2000</v>
      </c>
      <c r="F11" s="6"/>
      <c r="G11" s="7"/>
    </row>
    <row r="12" spans="1:7" x14ac:dyDescent="0.35">
      <c r="A12" s="1" t="s">
        <v>12</v>
      </c>
      <c r="B12" s="6">
        <v>700</v>
      </c>
      <c r="F12" s="6"/>
      <c r="G12" s="7"/>
    </row>
    <row r="13" spans="1:7" x14ac:dyDescent="0.35">
      <c r="A13" s="1" t="s">
        <v>13</v>
      </c>
      <c r="B13" s="7">
        <v>1000</v>
      </c>
      <c r="F13" s="6"/>
      <c r="G13" s="6"/>
    </row>
    <row r="14" spans="1:7" x14ac:dyDescent="0.35">
      <c r="A14" s="1" t="s">
        <v>14</v>
      </c>
      <c r="B14" s="7">
        <v>25000</v>
      </c>
      <c r="F14" s="6"/>
      <c r="G14" s="7"/>
    </row>
    <row r="15" spans="1:7" x14ac:dyDescent="0.35">
      <c r="A15" s="1" t="s">
        <v>15</v>
      </c>
      <c r="B15" s="7">
        <v>60000</v>
      </c>
      <c r="F15" s="6"/>
      <c r="G15" s="7"/>
    </row>
    <row r="16" spans="1:7" x14ac:dyDescent="0.35">
      <c r="A16" s="1" t="s">
        <v>16</v>
      </c>
      <c r="B16" s="7">
        <v>70000</v>
      </c>
      <c r="F16" s="6"/>
      <c r="G16" s="7"/>
    </row>
    <row r="17" spans="1:7" x14ac:dyDescent="0.35">
      <c r="A17" s="1" t="s">
        <v>17</v>
      </c>
      <c r="B17" s="7">
        <v>1300</v>
      </c>
      <c r="F17" s="6"/>
      <c r="G17" s="7"/>
    </row>
    <row r="18" spans="1:7" x14ac:dyDescent="0.35">
      <c r="A18" s="1" t="s">
        <v>18</v>
      </c>
      <c r="B18" s="6">
        <v>350</v>
      </c>
      <c r="F18" s="6"/>
      <c r="G18" s="7"/>
    </row>
    <row r="19" spans="1:7" x14ac:dyDescent="0.35">
      <c r="A19" s="1" t="s">
        <v>19</v>
      </c>
      <c r="B19" s="7">
        <v>1200</v>
      </c>
      <c r="F19" s="6"/>
      <c r="G19" s="6"/>
    </row>
    <row r="20" spans="1:7" x14ac:dyDescent="0.35">
      <c r="A20" s="1" t="s">
        <v>20</v>
      </c>
      <c r="B20" s="7">
        <v>50000</v>
      </c>
      <c r="F20" s="6"/>
      <c r="G20" s="7"/>
    </row>
    <row r="21" spans="1:7" x14ac:dyDescent="0.35">
      <c r="A21" s="1" t="s">
        <v>21</v>
      </c>
      <c r="B21" s="7">
        <v>40000</v>
      </c>
      <c r="F21" s="6"/>
      <c r="G21" s="7"/>
    </row>
    <row r="22" spans="1:7" x14ac:dyDescent="0.35">
      <c r="A22" s="1" t="s">
        <v>22</v>
      </c>
      <c r="B22" s="7">
        <v>5000</v>
      </c>
      <c r="F22" s="6"/>
      <c r="G22" s="7"/>
    </row>
    <row r="23" spans="1:7" x14ac:dyDescent="0.35">
      <c r="A23" s="1" t="s">
        <v>23</v>
      </c>
      <c r="B23" s="7">
        <v>4000</v>
      </c>
      <c r="F23" s="6"/>
      <c r="G23" s="7"/>
    </row>
    <row r="24" spans="1:7" x14ac:dyDescent="0.35">
      <c r="A24" s="1" t="s">
        <v>24</v>
      </c>
      <c r="B24" s="7">
        <v>11000</v>
      </c>
      <c r="F24" s="6"/>
      <c r="G24" s="7"/>
    </row>
    <row r="25" spans="1:7" x14ac:dyDescent="0.35">
      <c r="A25" s="1" t="s">
        <v>25</v>
      </c>
      <c r="B25" s="7">
        <v>13000</v>
      </c>
      <c r="F25" s="6"/>
      <c r="G25" s="7"/>
    </row>
    <row r="26" spans="1:7" x14ac:dyDescent="0.35">
      <c r="A26" s="1" t="s">
        <v>26</v>
      </c>
      <c r="B26" s="7">
        <v>27000</v>
      </c>
      <c r="F26" s="6"/>
      <c r="G26" s="7"/>
    </row>
    <row r="27" spans="1:7" x14ac:dyDescent="0.35">
      <c r="A27" s="1" t="s">
        <v>27</v>
      </c>
      <c r="B27" s="7">
        <v>40000</v>
      </c>
      <c r="F27" s="6"/>
      <c r="G27" s="7"/>
    </row>
    <row r="28" spans="1:7" x14ac:dyDescent="0.35">
      <c r="A28" s="1" t="s">
        <v>28</v>
      </c>
      <c r="B28" s="7">
        <v>35000</v>
      </c>
      <c r="F28" s="6"/>
      <c r="G28" s="7"/>
    </row>
    <row r="29" spans="1:7" x14ac:dyDescent="0.35">
      <c r="A29" s="1" t="s">
        <v>29</v>
      </c>
      <c r="B29" s="7">
        <v>3000</v>
      </c>
      <c r="F29" s="6"/>
      <c r="G29" s="7"/>
    </row>
    <row r="30" spans="1:7" x14ac:dyDescent="0.35">
      <c r="A30" s="1" t="s">
        <v>30</v>
      </c>
      <c r="B30" s="7">
        <v>6000</v>
      </c>
      <c r="F30" s="6"/>
      <c r="G30" s="7"/>
    </row>
    <row r="31" spans="1:7" x14ac:dyDescent="0.35">
      <c r="A31" s="1" t="s">
        <v>31</v>
      </c>
      <c r="B31" s="7">
        <v>2500</v>
      </c>
      <c r="F31" s="6"/>
      <c r="G31" s="7"/>
    </row>
    <row r="32" spans="1:7" x14ac:dyDescent="0.35">
      <c r="F32" s="6"/>
      <c r="G3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6" sqref="A6"/>
    </sheetView>
  </sheetViews>
  <sheetFormatPr defaultRowHeight="14.5" x14ac:dyDescent="0.35"/>
  <cols>
    <col min="1" max="1" width="11.36328125" bestFit="1" customWidth="1"/>
  </cols>
  <sheetData>
    <row r="1" spans="1:2" x14ac:dyDescent="0.35">
      <c r="A1" s="1" t="s">
        <v>43</v>
      </c>
      <c r="B1" s="1" t="s">
        <v>44</v>
      </c>
    </row>
    <row r="2" spans="1:2" x14ac:dyDescent="0.35">
      <c r="A2" t="s">
        <v>45</v>
      </c>
      <c r="B2" t="s">
        <v>57</v>
      </c>
    </row>
    <row r="3" spans="1:2" x14ac:dyDescent="0.35">
      <c r="A3" t="s">
        <v>46</v>
      </c>
      <c r="B3" t="s">
        <v>58</v>
      </c>
    </row>
    <row r="4" spans="1:2" x14ac:dyDescent="0.35">
      <c r="A4" t="s">
        <v>47</v>
      </c>
      <c r="B4" t="s">
        <v>48</v>
      </c>
    </row>
    <row r="5" spans="1:2" x14ac:dyDescent="0.35">
      <c r="A5" t="s">
        <v>64</v>
      </c>
      <c r="B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Composition</vt:lpstr>
      <vt:lpstr>Cost</vt:lpstr>
      <vt:lpstr>Market</vt:lpstr>
      <vt:lpstr>Refining Costs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Yashasvi Gudwani (Special Project)</dc:creator>
  <cp:lastModifiedBy>Yashasvi Gudwani (Special Project)</cp:lastModifiedBy>
  <dcterms:created xsi:type="dcterms:W3CDTF">2025-11-12T18:35:40Z</dcterms:created>
  <dcterms:modified xsi:type="dcterms:W3CDTF">2025-11-21T11:24:28Z</dcterms:modified>
</cp:coreProperties>
</file>